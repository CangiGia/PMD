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Users\Giaco\anaconda3\envs\GiacoEnv\PMD\"/>
    </mc:Choice>
  </mc:AlternateContent>
  <xr:revisionPtr revIDLastSave="0" documentId="13_ncr:1_{9FF0233B-717C-4130-9DAF-1C40E8156CF5}" xr6:coauthVersionLast="47" xr6:coauthVersionMax="47" xr10:uidLastSave="{00000000-0000-0000-0000-000000000000}"/>
  <bookViews>
    <workbookView xWindow="-120" yWindow="-120" windowWidth="29040" windowHeight="15720" tabRatio="609" activeTab="1" xr2:uid="{BB9BC252-3FF5-4716-B4DF-EB41A2559DD4}"/>
  </bookViews>
  <sheets>
    <sheet name="intro" sheetId="1" r:id="rId1"/>
    <sheet name="tracker" sheetId="2" r:id="rId2"/>
    <sheet name="GUI" sheetId="3" r:id="rId3"/>
  </sheets>
  <definedNames>
    <definedName name="_xlnm._FilterDatabase" localSheetId="1" hidden="1">tracker!$B$5:$Q$105</definedName>
    <definedName name="_xleta.CODE"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7" i="2" l="1" a="1"/>
  <c r="Y7" i="2" s="1"/>
  <c r="Y8" i="2" a="1"/>
  <c r="Y8" i="2" s="1"/>
  <c r="Y9" i="2" a="1"/>
  <c r="Y9" i="2" s="1"/>
  <c r="Y10" i="2" a="1"/>
  <c r="Y10" i="2" s="1"/>
  <c r="Y11" i="2" a="1"/>
  <c r="Y11" i="2" s="1"/>
  <c r="Y12" i="2" a="1"/>
  <c r="Y12" i="2"/>
  <c r="Y13" i="2" a="1"/>
  <c r="Y13" i="2" s="1"/>
  <c r="Y14" i="2" a="1"/>
  <c r="Y14" i="2" s="1"/>
  <c r="Y16" i="2" a="1"/>
  <c r="Y16" i="2" s="1"/>
  <c r="Y17" i="2" a="1"/>
  <c r="Y17" i="2" s="1"/>
  <c r="Y18" i="2" a="1"/>
  <c r="Y18" i="2" s="1"/>
  <c r="Y19" i="2" a="1"/>
  <c r="Y19" i="2" s="1"/>
  <c r="Y20" i="2" a="1"/>
  <c r="Y20" i="2"/>
  <c r="Y21" i="2" a="1"/>
  <c r="Y21" i="2" s="1"/>
  <c r="Y22" i="2" a="1"/>
  <c r="Y22" i="2" s="1"/>
  <c r="Y23" i="2" a="1"/>
  <c r="Y23" i="2" s="1"/>
  <c r="Y25" i="2" a="1"/>
  <c r="Y25" i="2" s="1"/>
  <c r="Y26" i="2" a="1"/>
  <c r="Y26" i="2" s="1"/>
  <c r="Y27" i="2" a="1"/>
  <c r="Y27" i="2" s="1"/>
  <c r="Y28" i="2" a="1"/>
  <c r="Y28" i="2" s="1"/>
  <c r="Y29" i="2" a="1"/>
  <c r="Y29" i="2" s="1"/>
  <c r="Y30" i="2" a="1"/>
  <c r="Y30" i="2" s="1"/>
  <c r="Y31" i="2" a="1"/>
  <c r="Y31" i="2" s="1"/>
  <c r="Y32" i="2" a="1"/>
  <c r="Y32" i="2" s="1"/>
  <c r="Y33" i="2" a="1"/>
  <c r="Y33" i="2" s="1"/>
  <c r="Y34" i="2" a="1"/>
  <c r="Y34" i="2"/>
  <c r="Y35" i="2" a="1"/>
  <c r="Y35" i="2" s="1"/>
  <c r="Y36" i="2" a="1"/>
  <c r="Y36" i="2" s="1"/>
  <c r="Y37" i="2" a="1"/>
  <c r="Y37" i="2" s="1"/>
  <c r="Y38" i="2" a="1"/>
  <c r="Y38" i="2" s="1"/>
  <c r="Y39" i="2" a="1"/>
  <c r="Y39" i="2" s="1"/>
  <c r="Y40" i="2" a="1"/>
  <c r="Y40" i="2" s="1"/>
  <c r="Y41" i="2" a="1"/>
  <c r="Y41" i="2" s="1"/>
  <c r="Y42" i="2" a="1"/>
  <c r="Y42" i="2" s="1"/>
  <c r="Y43" i="2" a="1"/>
  <c r="Y43" i="2" s="1"/>
  <c r="Y44" i="2" a="1"/>
  <c r="Y44" i="2" s="1"/>
  <c r="Y45" i="2" a="1"/>
  <c r="Y45" i="2" s="1"/>
  <c r="Y46" i="2" a="1"/>
  <c r="Y46" i="2" s="1"/>
  <c r="Y47" i="2" a="1"/>
  <c r="Y47" i="2" s="1"/>
  <c r="Y48" i="2" a="1"/>
  <c r="Y48" i="2"/>
  <c r="Y49" i="2" a="1"/>
  <c r="Y49" i="2" s="1"/>
  <c r="Y50" i="2" a="1"/>
  <c r="Y50" i="2" s="1"/>
  <c r="Y51" i="2" a="1"/>
  <c r="Y51" i="2" s="1"/>
  <c r="Y52" i="2" a="1"/>
  <c r="Y52" i="2" s="1"/>
  <c r="Y53" i="2" a="1"/>
  <c r="Y53" i="2" s="1"/>
  <c r="Y54" i="2" a="1"/>
  <c r="Y54" i="2" s="1"/>
  <c r="Y55" i="2" a="1"/>
  <c r="Y55" i="2"/>
  <c r="Y56" i="2" a="1"/>
  <c r="Y56" i="2" s="1"/>
  <c r="Y57" i="2" a="1"/>
  <c r="Y57" i="2" s="1"/>
  <c r="Y58" i="2" a="1"/>
  <c r="Y58" i="2" s="1"/>
  <c r="Y59" i="2" a="1"/>
  <c r="Y59" i="2" s="1"/>
  <c r="Y60" i="2" a="1"/>
  <c r="Y60" i="2" s="1"/>
  <c r="Y61" i="2" a="1"/>
  <c r="Y61" i="2" s="1"/>
  <c r="Y62" i="2" a="1"/>
  <c r="Y62" i="2" s="1"/>
  <c r="Y63" i="2" a="1"/>
  <c r="Y63" i="2"/>
  <c r="Y64" i="2" a="1"/>
  <c r="Y64" i="2" s="1"/>
  <c r="Y65" i="2" a="1"/>
  <c r="Y65" i="2" s="1"/>
  <c r="Y66" i="2" a="1"/>
  <c r="Y66" i="2" s="1"/>
  <c r="Y67" i="2" a="1"/>
  <c r="Y67" i="2" s="1"/>
  <c r="Y68" i="2" a="1"/>
  <c r="Y68" i="2"/>
  <c r="Y69" i="2" a="1"/>
  <c r="Y69" i="2" s="1"/>
  <c r="Y70" i="2" a="1"/>
  <c r="Y70" i="2" s="1"/>
  <c r="Y71" i="2" a="1"/>
  <c r="Y71" i="2" s="1"/>
  <c r="Y72" i="2" a="1"/>
  <c r="Y72" i="2"/>
  <c r="Y73" i="2" a="1"/>
  <c r="Y73" i="2"/>
  <c r="Y74" i="2" a="1"/>
  <c r="Y74" i="2" s="1"/>
  <c r="Y75" i="2" a="1"/>
  <c r="Y75" i="2" s="1"/>
  <c r="Y76" i="2" a="1"/>
  <c r="Y76" i="2" s="1"/>
  <c r="Y77" i="2" a="1"/>
  <c r="Y77" i="2"/>
  <c r="Y78" i="2" a="1"/>
  <c r="Y78" i="2" s="1"/>
  <c r="Y79" i="2" a="1"/>
  <c r="Y79" i="2" s="1"/>
  <c r="Y80" i="2" a="1"/>
  <c r="Y80" i="2" s="1"/>
  <c r="Y81" i="2" a="1"/>
  <c r="Y81" i="2" s="1"/>
  <c r="Y82" i="2" a="1"/>
  <c r="Y82" i="2" s="1"/>
  <c r="Y83" i="2" a="1"/>
  <c r="Y83" i="2" s="1"/>
  <c r="Y84" i="2" a="1"/>
  <c r="Y84" i="2" s="1"/>
  <c r="Y85" i="2" a="1"/>
  <c r="Y85" i="2" s="1"/>
  <c r="Y86" i="2" a="1"/>
  <c r="Y86" i="2" s="1"/>
  <c r="Y87" i="2" a="1"/>
  <c r="Y87" i="2"/>
  <c r="Y88" i="2" a="1"/>
  <c r="Y88" i="2" s="1"/>
  <c r="Y89" i="2" a="1"/>
  <c r="Y89" i="2" s="1"/>
  <c r="Y90" i="2" a="1"/>
  <c r="Y90" i="2" s="1"/>
  <c r="Y91" i="2" a="1"/>
  <c r="Y91" i="2" s="1"/>
  <c r="Y92" i="2" a="1"/>
  <c r="Y92" i="2" s="1"/>
  <c r="Y93" i="2" a="1"/>
  <c r="Y93" i="2" s="1"/>
  <c r="Y94" i="2" a="1"/>
  <c r="Y94" i="2" s="1"/>
  <c r="Y95" i="2" a="1"/>
  <c r="Y95" i="2" s="1"/>
  <c r="Y96" i="2" a="1"/>
  <c r="Y96" i="2" s="1"/>
  <c r="Y97" i="2" a="1"/>
  <c r="Y97" i="2" s="1"/>
  <c r="Y98" i="2" a="1"/>
  <c r="Y98" i="2" s="1"/>
  <c r="Y99" i="2" a="1"/>
  <c r="Y99" i="2" s="1"/>
  <c r="Y100" i="2" a="1"/>
  <c r="Y100" i="2"/>
  <c r="Y101" i="2" a="1"/>
  <c r="Y101" i="2" s="1"/>
  <c r="Y102" i="2" a="1"/>
  <c r="Y102" i="2" s="1"/>
  <c r="Y103" i="2" a="1"/>
  <c r="Y103" i="2" s="1"/>
  <c r="Y104" i="2" a="1"/>
  <c r="Y104" i="2" s="1"/>
  <c r="Y105" i="2" a="1"/>
  <c r="Y105" i="2" s="1"/>
  <c r="Y6" i="2" a="1"/>
  <c r="Y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Giacomo Cangi</author>
  </authors>
  <commentList>
    <comment ref="Z5" authorId="0" shapeId="0" xr:uid="{6DB49182-4AA2-48F0-AB43-47B1A9210243}">
      <text>
        <r>
          <rPr>
            <b/>
            <sz val="9"/>
            <color indexed="81"/>
            <rFont val="Tahoma"/>
            <family val="2"/>
          </rPr>
          <t>Giacomo Cangi:</t>
        </r>
        <r>
          <rPr>
            <sz val="9"/>
            <color indexed="81"/>
            <rFont val="Tahoma"/>
            <family val="2"/>
          </rPr>
          <t xml:space="preserve">
defined in a scale from 1 to 5, where: 
1 -&gt; extremely low
5 -&gt; extremely high
</t>
        </r>
      </text>
    </comment>
    <comment ref="D15" authorId="0" shapeId="0" xr:uid="{6E3206E4-E80D-4E61-88CF-149DC2228C0E}">
      <text>
        <r>
          <rPr>
            <b/>
            <sz val="9"/>
            <color indexed="81"/>
            <rFont val="Tahoma"/>
            <charset val="1"/>
          </rPr>
          <t>Giacomo Cangi:</t>
        </r>
        <r>
          <rPr>
            <sz val="9"/>
            <color indexed="81"/>
            <rFont val="Tahoma"/>
            <charset val="1"/>
          </rPr>
          <t xml:space="preserve">
changed parts of the solver.py module and all test create for matlab comparison.</t>
        </r>
      </text>
    </comment>
    <comment ref="D16" authorId="0" shapeId="0" xr:uid="{6DF9B383-677D-4AB4-B4A9-3AB70C126692}">
      <text>
        <r>
          <rPr>
            <b/>
            <sz val="9"/>
            <color indexed="81"/>
            <rFont val="Tahoma"/>
            <charset val="1"/>
          </rPr>
          <t>Giacomo Cangi:</t>
        </r>
        <r>
          <rPr>
            <sz val="9"/>
            <color indexed="81"/>
            <rFont val="Tahoma"/>
            <charset val="1"/>
          </rPr>
          <t xml:space="preserve">
the 1_based structure of the code has now be changed to the 0_based structure; all test are passed</t>
        </r>
      </text>
    </comment>
    <comment ref="S25" authorId="0" shapeId="0" xr:uid="{CA30BBE7-1E7A-485A-8424-E1DC90866EED}">
      <text>
        <r>
          <rPr>
            <b/>
            <sz val="9"/>
            <color indexed="81"/>
            <rFont val="Tahoma"/>
            <family val="2"/>
          </rPr>
          <t>Giacomo Cangi:</t>
        </r>
        <r>
          <rPr>
            <sz val="9"/>
            <color indexed="81"/>
            <rFont val="Tahoma"/>
            <family val="2"/>
          </rPr>
          <t xml:space="preserve">
split the solver work, currently is handling creation+simulation of the module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<sst xmlns="http://schemas.openxmlformats.org/spreadsheetml/2006/main" count="102" uniqueCount="62">
  <si>
    <t>Code tracker - pmd python library</t>
  </si>
  <si>
    <t xml:space="preserve">Date </t>
  </si>
  <si>
    <t>Author</t>
  </si>
  <si>
    <t>File involved</t>
  </si>
  <si>
    <t>Giacomo Cangi</t>
  </si>
  <si>
    <t>-</t>
  </si>
  <si>
    <t>Description</t>
  </si>
  <si>
    <t>Create pmd.xlsm file as tracker and gui</t>
  </si>
  <si>
    <t>y</t>
  </si>
  <si>
    <t>n</t>
  </si>
  <si>
    <t>To Do List</t>
  </si>
  <si>
    <t>Implement all types of joints</t>
  </si>
  <si>
    <t>Viewer for system motion</t>
  </si>
  <si>
    <t>Implement static-kinematic analysis</t>
  </si>
  <si>
    <t>Add methods for object interaction</t>
  </si>
  <si>
    <t>Add flexible bodies</t>
  </si>
  <si>
    <t>Complete documentation</t>
  </si>
  <si>
    <t>Release Python package on PyPI</t>
  </si>
  <si>
    <t>Completed (y/n/wip)</t>
  </si>
  <si>
    <t>Complete the GUI and python-excel interaction</t>
  </si>
  <si>
    <t>18/04/2025</t>
  </si>
  <si>
    <t>19/04/2025</t>
  </si>
  <si>
    <t>solver.py</t>
  </si>
  <si>
    <t>Complete integration of PMD into pyflow</t>
  </si>
  <si>
    <t>Integrate coordinate partitioning method</t>
  </si>
  <si>
    <t>Test Code Tracker</t>
  </si>
  <si>
    <t>Complete force computation</t>
  </si>
  <si>
    <t>Complete Lagrange multiplier extraction from res</t>
  </si>
  <si>
    <t>Priority</t>
  </si>
  <si>
    <t>23/04/2025</t>
  </si>
  <si>
    <t>Joint types completed inside the code</t>
  </si>
  <si>
    <t>Started to complete all joint types inside the code</t>
  </si>
  <si>
    <t>Classes attribute reafctoring</t>
  </si>
  <si>
    <t>Insert "maxit" parameter in NR cicle</t>
  </si>
  <si>
    <t>Completed all forces type inside the code</t>
  </si>
  <si>
    <t>Description change</t>
  </si>
  <si>
    <t>Started to fix Lagrangian multiplier extraction</t>
  </si>
  <si>
    <t>Change main class name in PlanarMultibodyModel()</t>
  </si>
  <si>
    <t>Changed name in PlanarMultibodyModel()</t>
  </si>
  <si>
    <t xml:space="preserve">Acc and Multipliers extraction completed </t>
  </si>
  <si>
    <t>solver.py &amp; all moduls</t>
  </si>
  <si>
    <t>Create method to view results automatically</t>
  </si>
  <si>
    <t>Create a method to view the time simulation</t>
  </si>
  <si>
    <t>Enhance multiprocessing</t>
  </si>
  <si>
    <t>main</t>
  </si>
  <si>
    <t xml:space="preserve">main </t>
  </si>
  <si>
    <t>accelerations_and_multipliers</t>
  </si>
  <si>
    <t>Completed method to view simulation time</t>
  </si>
  <si>
    <t>13/05/2025</t>
  </si>
  <si>
    <t>progress_bar</t>
  </si>
  <si>
    <t>Started to work on multiprocessing for simulation</t>
  </si>
  <si>
    <t>multiprocessing</t>
  </si>
  <si>
    <t>all modules</t>
  </si>
  <si>
    <t>first_refactory</t>
  </si>
  <si>
    <t>obsolete</t>
  </si>
  <si>
    <t>Second program refactoring</t>
  </si>
  <si>
    <t>First program refactoring</t>
  </si>
  <si>
    <t>0-based-indices</t>
  </si>
  <si>
    <t>Version/Branch name</t>
  </si>
  <si>
    <t>Change the PMD structure into a more robust one</t>
  </si>
  <si>
    <t>Create standard test to verify the code</t>
  </si>
  <si>
    <t>0_based indexing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</si>
</sst>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Comic Sans MS"/>
      <family val="4"/>
    </font>
    <font>
      <sz val="16"/>
      <color rgb="FFFF33CC"/>
      <name val="Comic Sans MS"/>
      <family val="4"/>
    </font>
    <font>
      <i/>
      <sz val="9"/>
      <color theme="0" tint="-0.499984740745262"/>
      <name val="Comic Sans MS"/>
      <family val="4"/>
    </font>
    <font>
      <sz val="11"/>
      <color theme="0" tint="-0.499984740745262"/>
      <name val="Comic Sans MS"/>
      <family val="4"/>
    </font>
    <font>
      <sz val="16"/>
      <color theme="6"/>
      <name val="Comic Sans MS"/>
      <family val="4"/>
    </font>
    <font>
      <b/>
      <sz val="11"/>
      <color theme="0"/>
      <name val="Comic Sans MS"/>
      <family val="4"/>
    </font>
    <font>
      <sz val="11"/>
      <color theme="0"/>
      <name val="Comic Sans MS"/>
      <family val="4"/>
    </font>
    <font>
      <i/>
      <sz val="11"/>
      <color theme="3"/>
      <name val="Comic Sans MS"/>
      <family val="4"/>
    </font>
    <font>
      <sz val="9"/>
      <color indexed="81"/>
      <name val="Tahoma"/>
      <family val="2"/>
    </font>
    <font>
      <b/>
      <sz val="9"/>
      <color indexed="81"/>
      <name val="Tahoma"/>
      <family val="2"/>
    </font>
    <font>
      <b/>
      <sz val="11"/>
      <color theme="1"/>
      <name val="Aptos Narrow"/>
      <family val="2"/>
      <scheme val="minor"/>
    </font>
    <font>
      <sz val="9"/>
      <color indexed="81"/>
      <name val="Tahoma"/>
      <charset val="1"/>
    </font>
    <font>
      <b/>
      <sz val="9"/>
      <color indexed="81"/>
      <name val="Tahoma"/>
      <charset val="1"/>
    </font>
    <font>
      <strike/>
      <sz val="11"/>
      <color theme="0" tint="-0.499984740745262"/>
      <name val="Comic Sans MS"/>
      <family val="4"/>
    </font>
    <font>
      <i/>
      <strike/>
      <sz val="11"/>
      <color theme="3"/>
      <name val="Comic Sans MS"/>
      <family val="4"/>
    </font>
    <font>
      <b/>
      <strike/>
      <sz val="11"/>
      <color theme="0" tint="-0.499984740745262"/>
      <name val="Comic Sans MS"/>
      <family val="4"/>
    </font>
  </fonts>
  <fills count="5">
    <fill>
      <patternFill patternType="none"/>
    </fill>
    <fill>
      <patternFill patternType="gray125"/>
    </fill>
    <fill>
      <patternFill patternType="solid">
        <fgColor theme="0" tint="-0.14999847407452621"/>
        <bgColor indexed="64"/>
      </patternFill>
    </fill>
    <fill>
      <patternFill patternType="solid">
        <fgColor theme="4"/>
        <bgColor indexed="64"/>
      </patternFill>
    </fill>
    <fill>
      <patternFill patternType="solid">
        <fgColor theme="7" tint="-0.249977111117893"/>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9">
    <xf numFmtId="0" fontId="0" fillId="0" borderId="0" xfId="0"/>
    <xf numFmtId="0" fontId="7" fillId="0" borderId="0" xfId="0" applyFont="1" applyAlignment="1">
      <alignment horizontal="center" vertical="center"/>
    </xf>
    <xf numFmtId="0" fontId="2" fillId="0" borderId="0" xfId="0" applyFont="1" applyAlignment="1">
      <alignment horizontal="center" vertical="center"/>
    </xf>
    <xf numFmtId="0" fontId="1" fillId="0" borderId="0" xfId="0" applyFont="1" applyAlignment="1">
      <alignment horizontal="center" vertical="center"/>
    </xf>
    <xf numFmtId="0" fontId="6" fillId="3" borderId="27" xfId="0" applyFont="1" applyFill="1" applyBorder="1" applyAlignment="1">
      <alignment horizontal="center" vertical="center"/>
    </xf>
    <xf numFmtId="0" fontId="0" fillId="4" borderId="0" xfId="0" applyFill="1"/>
    <xf numFmtId="0" fontId="0" fillId="0" borderId="0" xfId="0" applyAlignment="1">
      <alignment horizontal="center" vertical="center"/>
    </xf>
    <xf numFmtId="0" fontId="11" fillId="0" borderId="0" xfId="0" applyFont="1" applyAlignment="1">
      <alignment horizontal="center" vertical="center"/>
    </xf>
    <xf numFmtId="0" fontId="3" fillId="0" borderId="0" xfId="0" applyFont="1" applyAlignment="1">
      <alignment horizontal="center" vertical="center"/>
    </xf>
    <xf numFmtId="0" fontId="4" fillId="0" borderId="1" xfId="0" applyFont="1" applyBorder="1" applyAlignment="1">
      <alignment horizontal="center" vertical="center"/>
    </xf>
    <xf numFmtId="0" fontId="4" fillId="0" borderId="23" xfId="0" applyFont="1" applyBorder="1" applyAlignment="1">
      <alignment horizontal="center" vertical="center"/>
    </xf>
    <xf numFmtId="0" fontId="4" fillId="0" borderId="1" xfId="0" applyFont="1" applyBorder="1" applyAlignment="1">
      <alignment horizontal="center" vertical="center" wrapText="1"/>
    </xf>
    <xf numFmtId="14" fontId="4" fillId="0" borderId="2" xfId="0" applyNumberFormat="1" applyFont="1" applyBorder="1" applyAlignment="1">
      <alignment horizontal="center" vertical="center"/>
    </xf>
    <xf numFmtId="14" fontId="4" fillId="0" borderId="3" xfId="0" applyNumberFormat="1" applyFont="1" applyBorder="1" applyAlignment="1">
      <alignment horizontal="center" vertical="center"/>
    </xf>
    <xf numFmtId="0" fontId="4" fillId="0" borderId="3" xfId="0" applyFont="1" applyBorder="1" applyAlignment="1">
      <alignment horizontal="center" vertical="center"/>
    </xf>
    <xf numFmtId="0" fontId="8" fillId="0" borderId="3" xfId="0" applyFont="1" applyBorder="1" applyAlignment="1">
      <alignment horizontal="center" vertical="center"/>
    </xf>
    <xf numFmtId="0" fontId="8" fillId="0" borderId="4" xfId="0" applyFont="1" applyBorder="1" applyAlignment="1">
      <alignment horizontal="center" vertical="center"/>
    </xf>
    <xf numFmtId="0" fontId="5" fillId="2" borderId="5" xfId="0" applyFont="1" applyFill="1" applyBorder="1" applyAlignment="1">
      <alignment horizontal="center" vertical="center"/>
    </xf>
    <xf numFmtId="0" fontId="5" fillId="2" borderId="6"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10" xfId="0" applyFont="1" applyFill="1" applyBorder="1" applyAlignment="1">
      <alignment horizontal="center" vertical="center"/>
    </xf>
    <xf numFmtId="0" fontId="6" fillId="3" borderId="24" xfId="0" applyFont="1" applyFill="1" applyBorder="1" applyAlignment="1">
      <alignment horizontal="center" vertical="center"/>
    </xf>
    <xf numFmtId="0" fontId="6" fillId="3" borderId="25" xfId="0" applyFont="1" applyFill="1" applyBorder="1" applyAlignment="1">
      <alignment horizontal="center" vertical="center"/>
    </xf>
    <xf numFmtId="0" fontId="6" fillId="3" borderId="26" xfId="0" applyFont="1" applyFill="1" applyBorder="1" applyAlignment="1">
      <alignment horizontal="center" vertical="center"/>
    </xf>
    <xf numFmtId="0" fontId="4" fillId="0" borderId="3" xfId="0" applyFont="1" applyBorder="1" applyAlignment="1">
      <alignment horizontal="center" vertical="center" wrapText="1"/>
    </xf>
    <xf numFmtId="14" fontId="4" fillId="0" borderId="17" xfId="0" applyNumberFormat="1" applyFont="1" applyBorder="1" applyAlignment="1">
      <alignment horizontal="center" vertical="center"/>
    </xf>
    <xf numFmtId="14" fontId="4" fillId="0" borderId="18" xfId="0" applyNumberFormat="1" applyFont="1" applyBorder="1" applyAlignment="1">
      <alignment horizontal="center"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4" fillId="0" borderId="18" xfId="0" quotePrefix="1" applyFont="1" applyBorder="1" applyAlignment="1">
      <alignment horizontal="center" vertical="center"/>
    </xf>
    <xf numFmtId="0" fontId="4" fillId="0" borderId="18" xfId="0" applyFont="1" applyBorder="1" applyAlignment="1">
      <alignment horizontal="center" vertical="center"/>
    </xf>
    <xf numFmtId="0" fontId="8" fillId="0" borderId="18" xfId="0" quotePrefix="1" applyFont="1" applyBorder="1" applyAlignment="1">
      <alignment horizontal="center" vertical="center"/>
    </xf>
    <xf numFmtId="0" fontId="8" fillId="0" borderId="18" xfId="0" applyFont="1" applyBorder="1" applyAlignment="1">
      <alignment horizontal="center" vertical="center"/>
    </xf>
    <xf numFmtId="0" fontId="8" fillId="0" borderId="19" xfId="0" applyFont="1" applyBorder="1" applyAlignment="1">
      <alignment horizontal="center" vertical="center"/>
    </xf>
    <xf numFmtId="0" fontId="6" fillId="3" borderId="20" xfId="0" applyFont="1" applyFill="1" applyBorder="1" applyAlignment="1">
      <alignment horizontal="center" vertical="center"/>
    </xf>
    <xf numFmtId="0" fontId="6" fillId="3" borderId="22" xfId="0" applyFont="1" applyFill="1" applyBorder="1" applyAlignment="1">
      <alignment horizontal="center" vertical="center"/>
    </xf>
    <xf numFmtId="0" fontId="6" fillId="3" borderId="21" xfId="0" applyFont="1" applyFill="1" applyBorder="1" applyAlignment="1">
      <alignment horizontal="center" vertical="center"/>
    </xf>
    <xf numFmtId="14" fontId="14" fillId="0" borderId="2" xfId="0" applyNumberFormat="1" applyFont="1" applyBorder="1" applyAlignment="1">
      <alignment horizontal="center" vertical="center"/>
    </xf>
    <xf numFmtId="14" fontId="14" fillId="0" borderId="3" xfId="0" applyNumberFormat="1" applyFont="1" applyBorder="1" applyAlignment="1">
      <alignment horizontal="center" vertical="center"/>
    </xf>
    <xf numFmtId="0" fontId="14" fillId="0" borderId="3" xfId="0" applyFont="1" applyBorder="1" applyAlignment="1">
      <alignment horizontal="center" vertical="center"/>
    </xf>
    <xf numFmtId="0" fontId="15" fillId="0" borderId="3" xfId="0" applyFont="1" applyBorder="1" applyAlignment="1">
      <alignment horizontal="center" vertical="center"/>
    </xf>
    <xf numFmtId="0" fontId="15" fillId="0" borderId="4" xfId="0" applyFont="1" applyBorder="1" applyAlignment="1">
      <alignment horizontal="center" vertical="center"/>
    </xf>
    <xf numFmtId="0" fontId="16" fillId="0" borderId="1" xfId="0" applyFont="1" applyBorder="1" applyAlignment="1">
      <alignment horizontal="center" vertical="center"/>
    </xf>
  </cellXfs>
  <cellStyles count="1">
    <cellStyle name="Normal" xfId="0" builtinId="0"/>
  </cellStyles>
  <dxfs count="8">
    <dxf>
      <font>
        <b/>
        <i val="0"/>
        <strike/>
        <color rgb="FF00B0F0"/>
      </font>
      <fill>
        <patternFill>
          <bgColor theme="7" tint="0.79998168889431442"/>
        </patternFill>
      </fill>
    </dxf>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
      <font>
        <b/>
        <i val="0"/>
        <strike/>
        <color rgb="FF00B0F0"/>
      </font>
      <fill>
        <patternFill>
          <bgColor theme="7" tint="0.79998168889431442"/>
        </patternFill>
      </fill>
    </dxf>
    <dxf>
      <font>
        <b/>
        <i val="0"/>
        <color theme="6"/>
      </font>
      <fill>
        <patternFill>
          <bgColor theme="9" tint="0.59996337778862885"/>
        </patternFill>
      </fill>
    </dxf>
    <dxf>
      <font>
        <b/>
        <i val="0"/>
        <color rgb="FFC00000"/>
      </font>
      <fill>
        <patternFill>
          <bgColor theme="5" tint="0.59996337778862885"/>
        </patternFill>
      </fill>
    </dxf>
    <dxf>
      <font>
        <b/>
        <i val="0"/>
        <color rgb="FFFFC000"/>
      </font>
      <fill>
        <patternFill>
          <bgColor rgb="FFFFFFCC"/>
        </patternFill>
      </fill>
    </dxf>
  </dxfs>
  <tableStyles count="1" defaultTableStyle="TableStyleMedium2" defaultPivotStyle="PivotStyleLight16">
    <tableStyle name="Invisible" pivot="0" table="0" count="0" xr9:uid="{291EEB2A-B102-4503-BC8B-E09DC7198A14}"/>
  </tableStyles>
  <colors>
    <mruColors>
      <color rgb="FFFFFFCC"/>
      <color rgb="FFFFFF99"/>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2.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7</xdr:col>
      <xdr:colOff>533400</xdr:colOff>
      <xdr:row>4</xdr:row>
      <xdr:rowOff>180975</xdr:rowOff>
    </xdr:from>
    <xdr:ext cx="184731" cy="264560"/>
    <xdr:sp macro="" textlink="">
      <xdr:nvSpPr>
        <xdr:cNvPr id="2" name="TextBox 1">
          <a:extLst>
            <a:ext uri="{FF2B5EF4-FFF2-40B4-BE49-F238E27FC236}">
              <a16:creationId xmlns:a16="http://schemas.microsoft.com/office/drawing/2014/main" id="{EA2CD603-1BE3-A0CF-759A-712D151C29EB}"/>
            </a:ext>
          </a:extLst>
        </xdr:cNvPr>
        <xdr:cNvSpPr txBox="1"/>
      </xdr:nvSpPr>
      <xdr:spPr>
        <a:xfrm>
          <a:off x="4800600" y="9429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0</xdr:col>
      <xdr:colOff>190499</xdr:colOff>
      <xdr:row>1</xdr:row>
      <xdr:rowOff>76199</xdr:rowOff>
    </xdr:from>
    <xdr:to>
      <xdr:col>15</xdr:col>
      <xdr:colOff>457199</xdr:colOff>
      <xdr:row>28</xdr:row>
      <xdr:rowOff>38100</xdr:rowOff>
    </xdr:to>
    <xdr:sp macro="" textlink="">
      <xdr:nvSpPr>
        <xdr:cNvPr id="3" name="TextBox 2">
          <a:extLst>
            <a:ext uri="{FF2B5EF4-FFF2-40B4-BE49-F238E27FC236}">
              <a16:creationId xmlns:a16="http://schemas.microsoft.com/office/drawing/2014/main" id="{ECB35054-0B3D-CF48-2A7A-F78D20D8248B}"/>
            </a:ext>
          </a:extLst>
        </xdr:cNvPr>
        <xdr:cNvSpPr txBox="1"/>
      </xdr:nvSpPr>
      <xdr:spPr>
        <a:xfrm>
          <a:off x="190499" y="266699"/>
          <a:ext cx="8991600" cy="5105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accent5"/>
              </a:solidFill>
              <a:latin typeface="Comic Sans MS" panose="030F0702030302020204" pitchFamily="66" charset="0"/>
            </a:rPr>
            <a:t>Welcome to PMD - Planar Multibody Dynamics</a:t>
          </a:r>
        </a:p>
        <a:p>
          <a:r>
            <a:rPr lang="en-US" b="1">
              <a:latin typeface="Comic Sans MS" panose="030F0702030302020204" pitchFamily="66" charset="0"/>
            </a:rPr>
            <a:t>PMD, short for </a:t>
          </a:r>
          <a:r>
            <a:rPr lang="en-US" b="1" i="1">
              <a:latin typeface="Comic Sans MS" panose="030F0702030302020204" pitchFamily="66" charset="0"/>
            </a:rPr>
            <a:t>Planar Multibody Dynamics</a:t>
          </a:r>
          <a:r>
            <a:rPr lang="en-US" b="1">
              <a:latin typeface="Comic Sans MS" panose="030F0702030302020204" pitchFamily="66" charset="0"/>
            </a:rPr>
            <a:t>, is a powerful Python package designed for simulating, analyzing, and modeling planar multibody systems. It equips engineers, researchers, and developers with efficient tools for solving complex dynamics problems involving rigid bodies, constraints, and dynamic interactions.</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Purpose of This Excel File</a:t>
          </a:r>
        </a:p>
        <a:p>
          <a:r>
            <a:rPr lang="en-US" b="1">
              <a:latin typeface="Comic Sans MS" panose="030F0702030302020204" pitchFamily="66" charset="0"/>
            </a:rPr>
            <a:t>This Excel file serves two key roles:</a:t>
          </a:r>
        </a:p>
        <a:p>
          <a:r>
            <a:rPr lang="en-US" b="1">
              <a:solidFill>
                <a:schemeClr val="accent1"/>
              </a:solidFill>
              <a:latin typeface="Comic Sans MS" panose="030F0702030302020204" pitchFamily="66" charset="0"/>
            </a:rPr>
            <a:t>Changelog and Development Tracker</a:t>
          </a:r>
          <a:r>
            <a:rPr lang="en-US" b="1">
              <a:latin typeface="Comic Sans MS" panose="030F0702030302020204" pitchFamily="66" charset="0"/>
            </a:rPr>
            <a:t>: It provides a structured way to document all changes made to the PMD codebase. Whether you're adding new features, fixing bugs, or improving existing functionalities, this file helps you keep track of your development journey.</a:t>
          </a:r>
        </a:p>
        <a:p>
          <a:r>
            <a:rPr lang="en-US" b="1">
              <a:solidFill>
                <a:schemeClr val="accent1"/>
              </a:solidFill>
              <a:latin typeface="Comic Sans MS" panose="030F0702030302020204" pitchFamily="66" charset="0"/>
            </a:rPr>
            <a:t>Graphical User Interface (GUI): </a:t>
          </a:r>
          <a:r>
            <a:rPr lang="en-US" b="1">
              <a:latin typeface="Comic Sans MS" panose="030F0702030302020204" pitchFamily="66" charset="0"/>
            </a:rPr>
            <a:t>Beyond documentation, this file doubles as a user-friendly interface. It allows developers to interact with PMD features, configure system parameters, and manage simulations with ease, all through an accessible and intuitive layout.</a:t>
          </a:r>
        </a:p>
        <a:p>
          <a:endParaRPr lang="en-US" b="1">
            <a:latin typeface="Comic Sans MS" panose="030F0702030302020204" pitchFamily="66" charset="0"/>
          </a:endParaRPr>
        </a:p>
        <a:p>
          <a:r>
            <a:rPr lang="en-US" sz="1600" b="1">
              <a:solidFill>
                <a:schemeClr val="accent5"/>
              </a:solidFill>
              <a:latin typeface="Comic Sans MS" panose="030F0702030302020204" pitchFamily="66" charset="0"/>
            </a:rPr>
            <a:t>How to Use This File</a:t>
          </a:r>
        </a:p>
        <a:p>
          <a:r>
            <a:rPr lang="en-US" b="1">
              <a:solidFill>
                <a:schemeClr val="accent1"/>
              </a:solidFill>
              <a:latin typeface="Comic Sans MS" panose="030F0702030302020204" pitchFamily="66" charset="0"/>
            </a:rPr>
            <a:t>Change Tracking: </a:t>
          </a:r>
          <a:r>
            <a:rPr lang="en-US" b="1">
              <a:latin typeface="Comic Sans MS" panose="030F0702030302020204" pitchFamily="66" charset="0"/>
            </a:rPr>
            <a:t>Use the changelog section to document each modification, specifying the date, type of change, developer's name, and affected features.</a:t>
          </a:r>
        </a:p>
        <a:p>
          <a:r>
            <a:rPr lang="en-US" b="1">
              <a:solidFill>
                <a:schemeClr val="accent1"/>
              </a:solidFill>
              <a:latin typeface="Comic Sans MS" panose="030F0702030302020204" pitchFamily="66" charset="0"/>
            </a:rPr>
            <a:t>Parameter Input and Results: </a:t>
          </a:r>
          <a:r>
            <a:rPr lang="en-US" b="1">
              <a:latin typeface="Comic Sans MS" panose="030F0702030302020204" pitchFamily="66" charset="0"/>
            </a:rPr>
            <a:t>The interface lets you easily input system parameters, manage configurations, and visualize outputs without needing to navigate through the source code directly.</a:t>
          </a:r>
        </a:p>
        <a:p>
          <a:endParaRPr lang="en-US" b="1">
            <a:latin typeface="Comic Sans MS" panose="030F0702030302020204" pitchFamily="66" charset="0"/>
          </a:endParaRPr>
        </a:p>
        <a:p>
          <a:r>
            <a:rPr lang="en-US" b="1">
              <a:latin typeface="Comic Sans MS" panose="030F0702030302020204" pitchFamily="66" charset="0"/>
            </a:rPr>
            <a:t>By keeping this Excel file up to date, you’ll not only streamline your workflow but also maintain clarity and traceability across your development efforts</a:t>
          </a:r>
        </a:p>
        <a:p>
          <a:endParaRPr lang="en-US" sz="1100" b="1">
            <a:latin typeface="Comic Sans MS" panose="030F0702030302020204" pitchFamily="66" charset="0"/>
          </a:endParaRPr>
        </a:p>
        <a:p>
          <a:r>
            <a:rPr lang="en-US" sz="1100" b="1">
              <a:latin typeface="Comic Sans MS" panose="030F0702030302020204" pitchFamily="66" charset="0"/>
            </a:rPr>
            <a:t>- Giacomo -</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22</xdr:col>
      <xdr:colOff>38099</xdr:colOff>
      <xdr:row>1</xdr:row>
      <xdr:rowOff>19050</xdr:rowOff>
    </xdr:from>
    <xdr:to>
      <xdr:col>22</xdr:col>
      <xdr:colOff>657224</xdr:colOff>
      <xdr:row>2</xdr:row>
      <xdr:rowOff>304800</xdr:rowOff>
    </xdr:to>
    <xdr:pic>
      <xdr:nvPicPr>
        <xdr:cNvPr id="3" name="Graphic 2" descr="Clipboard Ticked with solid fill">
          <a:extLst>
            <a:ext uri="{FF2B5EF4-FFF2-40B4-BE49-F238E27FC236}">
              <a16:creationId xmlns:a16="http://schemas.microsoft.com/office/drawing/2014/main" id="{1BD34AA8-B18F-421B-86DD-E68BAB2650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230224" y="238125"/>
          <a:ext cx="619125" cy="5905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 dockstate="right" visibility="0" width="350" row="4">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350" row="4">
    <wetp:webextensionref xmlns:r="http://schemas.openxmlformats.org/officeDocument/2006/relationships" r:id="rId4"/>
  </wetp:taskpane>
</wetp:taskpanes>
</file>

<file path=xl/webextensions/webextension1.xml><?xml version="1.0" encoding="utf-8"?>
<we:webextension xmlns:we="http://schemas.microsoft.com/office/webextensions/webextension/2010/11" id="{FE33F0E2-1009-451A-9FAC-3875C31F33F7}">
  <we:reference id="wa200003696" version="1.3.0.0" store="en-US" storeType="OMEX"/>
  <we:alternateReferences>
    <we:reference id="wa200003696" version="1.3.0.0" store="wa20000369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838F1179-CAE8-4E6A-82EE-00C16C5DAEC3}">
  <we:reference id="wa104380050" version="3.8.0.0" store="en-US" storeType="OMEX"/>
  <we:alternateReferences>
    <we:reference id="WA104380050" version="3.8.0.0" store=""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2186C2A5-5E72-474A-A668-A61925D45F1F}">
  <we:reference id="wa104380955" version="3.16.2.1" store="en-US" storeType="OMEX"/>
  <we:alternateReferences>
    <we:reference id="WA104380955" version="3.16.2.1"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01A09883-445A-4DEB-8C51-6C6BE17D1649}">
  <we:reference id="wa200006518" version="1.1.2.0" store="en-US" storeType="OMEX"/>
  <we:alternateReferences>
    <we:reference id="WA200006518" version="1.1.2.0" store="" storeType="OMEX"/>
  </we:alternateReferences>
  <we:properties>
    <we:property name="pyscriptSettings" value="&quot;{\&quot;defaultMode\&quot;:2}&quot;"/>
    <we:property name="pyworkerConfig" value="&quot;{\&quot;pyodideVersion\&quot;:\&quot;0.26.4\&quot;,\&quot;pyodidePackages\&quot;:[\&quot;numpy\&quot;,\&quot;pandas\&quot;,\&quot;matplotlib\&quot;,\&quot;statsmodels\&quot;],\&quot;pyscriptApps\&quot;:[],\&quot;micropipPackages\&quot;:[\&quot;seaborn==0.13.2\&quot;],\&quot;initCode\&quot;:\&quot;# Add imports\\nimport math\\nimport numpy as np\\nimport pandas as pd\\n\\n# Define classes and functions\\n\\n\\n# Pre-built utility functions\\ndef to_df(data) -&gt; pd.DataFrame:\\n    \\\&quot;\\\&quot;\\\&quot;\\n    Converts a REF (i.e. list of lists) into a pandas DataFrame\\n    Assumes that the first row contains column headers\\n\\n    Usage: df = to_df(REF(\\\&quot;F15:H22\\\&quot;))\\n    \\\&quot;\\\&quot;\\\&quot;\\n    if isinstance(data, pd.DataFrame):\\n        return data\\n    if hasattr(data, '__len__') and len(data) &gt; 0 and is_listlike(data[0]):\\n        return pd.DataFrame(data[1:], columns=data[0])\\n    raise TypeError('Expected list of lists')\\n\\ndef to_array(data) -&gt; np.ndarray:\\n    \\\&quot;\\\&quot;\\\&quot;\\n    Converts a REF (i.e. list of lists) into a 2-dimensional numpy array\\n\\n    Usage: arr = to_array(REF(\\\&quot;B3:C44\\\&quot;))\\n    \\\&quot;\\\&quot;\\\&quot;\\n    if isinstance(data, np.ndarray):\\n        return data\\n    return np.array(data)\\n\\ndef to_list(data) -&gt; list:\\n    \\\&quot;\\\&quot;\\\&quot;\\n    Converts a REF (i.e. list of lists) into a 1-d list.\\n    Handles wide (1xn) or tall (nx1) data.\\n\\n    Usage: x = to_list(REF(\\\&quot;G1:G55\\\&quot;))\\n    \\\&quot;\\\&quot;\\\&quot;\\n    if not is_listlike(data): # data is scalar\\n        return [data]\\n    if len(data) == 0 or not is_listlike(data[0]): # already a 1-d list\\n        return list(data)\\n    if len(data) == 1: # data is wide\\n        return list(data[0])\\n    elif len(data[0]) == 1: #data is tall\\n        return [x[0] for x in data]\\n    else:\\n        raise TypeError(f\\\&quot;data must be 1xn or nx1, not {len(data)}x{len(data[0])}\\\&quot;)\\n\\ndef is_listlike(x) -&gt; bool:\\n    return hasattr(x, '__len__') and type(x) not in {str, bytes}\\n\\n\&quot;}&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_xldudf_PYSCRIPT_CODE</we:customFunctionIds>
        <we:customFunctionIds>_xldudf_ANACONDA_CODE</we:customFunctionIds>
      </we:customFunctionIdList>
    </a:ext>
    <a:ext xmlns:a="http://schemas.openxmlformats.org/drawingml/2006/main" uri="{0858819E-0033-43BF-8937-05EC82904868}">
      <we:backgroundApp state="0" runtimeId="PyScript.Url"/>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DDE235-E973-4A52-8C05-669F9ACEEA09}">
  <sheetPr codeName="Sheet1">
    <tabColor theme="4"/>
  </sheetPr>
  <dimension ref="A1"/>
  <sheetViews>
    <sheetView showGridLines="0" workbookViewId="0">
      <selection activeCell="B29" sqref="B29"/>
    </sheetView>
  </sheetViews>
  <sheetFormatPr defaultRowHeight="15" x14ac:dyDescent="0.25"/>
  <cols>
    <col min="1" max="1" width="2.85546875" customWidth="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E6269-D465-4628-BCC9-84129D5F5D76}">
  <sheetPr codeName="Sheet3">
    <tabColor theme="8"/>
  </sheetPr>
  <dimension ref="A1:AH105"/>
  <sheetViews>
    <sheetView showGridLines="0" tabSelected="1" zoomScaleNormal="100" workbookViewId="0">
      <selection activeCell="L19" sqref="L19:N19"/>
    </sheetView>
  </sheetViews>
  <sheetFormatPr defaultColWidth="9.140625" defaultRowHeight="16.5" x14ac:dyDescent="0.25"/>
  <cols>
    <col min="1" max="1" width="4.5703125" style="3" bestFit="1" customWidth="1"/>
    <col min="2" max="7" width="9.140625" style="3"/>
    <col min="8" max="8" width="14.28515625" style="3" customWidth="1"/>
    <col min="9" max="11" width="9.140625" style="3"/>
    <col min="12" max="14" width="10.7109375" style="3" customWidth="1"/>
    <col min="15" max="17" width="9.140625" style="3"/>
    <col min="18" max="18" width="2.85546875" style="3" customWidth="1"/>
    <col min="19" max="19" width="16.7109375" style="3" bestFit="1" customWidth="1"/>
    <col min="20" max="21" width="9.140625" style="3"/>
    <col min="22" max="22" width="17.140625" style="3" customWidth="1"/>
    <col min="23" max="23" width="18.140625" style="3" bestFit="1" customWidth="1"/>
    <col min="24" max="24" width="9.140625" style="3"/>
    <col min="25" max="25" width="7.5703125" style="3" bestFit="1" customWidth="1"/>
    <col min="26" max="26" width="8.85546875" style="3" bestFit="1" customWidth="1"/>
    <col min="27" max="27" width="9.140625" style="6"/>
    <col min="28" max="16384" width="9.140625" style="3"/>
  </cols>
  <sheetData>
    <row r="1" spans="1:34" ht="17.25" thickBot="1" x14ac:dyDescent="0.3"/>
    <row r="2" spans="1:34" ht="24" x14ac:dyDescent="0.25">
      <c r="B2" s="29" t="s">
        <v>0</v>
      </c>
      <c r="C2" s="30"/>
      <c r="D2" s="30"/>
      <c r="E2" s="30"/>
      <c r="F2" s="30"/>
      <c r="G2" s="30"/>
      <c r="H2" s="30"/>
      <c r="I2" s="30"/>
      <c r="J2" s="30"/>
      <c r="K2" s="30"/>
      <c r="L2" s="30"/>
      <c r="M2" s="30"/>
      <c r="N2" s="30"/>
      <c r="O2" s="30"/>
      <c r="P2" s="30"/>
      <c r="Q2" s="31"/>
      <c r="S2" s="17" t="s">
        <v>10</v>
      </c>
      <c r="T2" s="18"/>
      <c r="U2" s="18"/>
      <c r="V2" s="18"/>
      <c r="W2" s="18"/>
      <c r="X2" s="19"/>
      <c r="Y2" s="2"/>
      <c r="Z2" s="2"/>
      <c r="AB2" s="2"/>
      <c r="AC2" s="2"/>
      <c r="AD2" s="2"/>
      <c r="AE2" s="2"/>
      <c r="AF2" s="2"/>
      <c r="AG2" s="2"/>
      <c r="AH2" s="2"/>
    </row>
    <row r="3" spans="1:34" ht="24.75" thickBot="1" x14ac:dyDescent="0.3">
      <c r="B3" s="32"/>
      <c r="C3" s="33"/>
      <c r="D3" s="33"/>
      <c r="E3" s="33"/>
      <c r="F3" s="33"/>
      <c r="G3" s="33"/>
      <c r="H3" s="33"/>
      <c r="I3" s="33"/>
      <c r="J3" s="33"/>
      <c r="K3" s="33"/>
      <c r="L3" s="33"/>
      <c r="M3" s="33"/>
      <c r="N3" s="33"/>
      <c r="O3" s="33"/>
      <c r="P3" s="33"/>
      <c r="Q3" s="34"/>
      <c r="S3" s="20"/>
      <c r="T3" s="21"/>
      <c r="U3" s="21"/>
      <c r="V3" s="21"/>
      <c r="W3" s="21"/>
      <c r="X3" s="22"/>
      <c r="Y3" s="2"/>
      <c r="Z3" s="2"/>
      <c r="AB3" s="2"/>
      <c r="AC3" s="2"/>
      <c r="AD3" s="2"/>
      <c r="AE3" s="2"/>
      <c r="AF3" s="2"/>
      <c r="AG3" s="2"/>
      <c r="AH3" s="2"/>
    </row>
    <row r="4" spans="1:34" ht="17.25" thickBot="1" x14ac:dyDescent="0.3"/>
    <row r="5" spans="1:34" ht="18.75" thickBot="1" x14ac:dyDescent="0.3">
      <c r="B5" s="40" t="s">
        <v>1</v>
      </c>
      <c r="C5" s="41"/>
      <c r="D5" s="40" t="s">
        <v>35</v>
      </c>
      <c r="E5" s="42"/>
      <c r="F5" s="42"/>
      <c r="G5" s="42"/>
      <c r="H5" s="41"/>
      <c r="I5" s="40" t="s">
        <v>2</v>
      </c>
      <c r="J5" s="42"/>
      <c r="K5" s="41"/>
      <c r="L5" s="40" t="s">
        <v>58</v>
      </c>
      <c r="M5" s="42"/>
      <c r="N5" s="41"/>
      <c r="O5" s="40" t="s">
        <v>3</v>
      </c>
      <c r="P5" s="42"/>
      <c r="Q5" s="41"/>
      <c r="S5" s="23" t="s">
        <v>6</v>
      </c>
      <c r="T5" s="24"/>
      <c r="U5" s="24"/>
      <c r="V5" s="25"/>
      <c r="W5" s="23" t="s">
        <v>18</v>
      </c>
      <c r="X5" s="25"/>
      <c r="Z5" s="4" t="s">
        <v>28</v>
      </c>
      <c r="AA5" s="7"/>
    </row>
    <row r="6" spans="1:34" ht="18.75" x14ac:dyDescent="0.25">
      <c r="A6" s="8">
        <v>1</v>
      </c>
      <c r="B6" s="27" t="s">
        <v>20</v>
      </c>
      <c r="C6" s="28"/>
      <c r="D6" s="35" t="s">
        <v>25</v>
      </c>
      <c r="E6" s="36"/>
      <c r="F6" s="36"/>
      <c r="G6" s="36"/>
      <c r="H6" s="36"/>
      <c r="I6" s="36" t="s">
        <v>4</v>
      </c>
      <c r="J6" s="36"/>
      <c r="K6" s="36"/>
      <c r="L6" s="35" t="s">
        <v>44</v>
      </c>
      <c r="M6" s="36"/>
      <c r="N6" s="36"/>
      <c r="O6" s="37" t="s">
        <v>5</v>
      </c>
      <c r="P6" s="38"/>
      <c r="Q6" s="39"/>
      <c r="S6" s="10" t="s">
        <v>7</v>
      </c>
      <c r="T6" s="10"/>
      <c r="U6" s="10"/>
      <c r="V6" s="10"/>
      <c r="W6" s="10" t="s">
        <v>8</v>
      </c>
      <c r="X6" s="10"/>
      <c r="Y6" s="1" cm="1">
        <f t="array" ref="Y6">_xlfn.IFS(W6="y",1,W6="n",0,W6="wip",0.5,W6="",0.5)</f>
        <v>1</v>
      </c>
      <c r="Z6" s="3">
        <v>5</v>
      </c>
    </row>
    <row r="7" spans="1:34" ht="18.75" x14ac:dyDescent="0.25">
      <c r="A7" s="8">
        <v>2</v>
      </c>
      <c r="B7" s="27" t="s">
        <v>21</v>
      </c>
      <c r="C7" s="28"/>
      <c r="D7" s="14" t="s">
        <v>31</v>
      </c>
      <c r="E7" s="14"/>
      <c r="F7" s="14"/>
      <c r="G7" s="14"/>
      <c r="H7" s="14"/>
      <c r="I7" s="14" t="s">
        <v>4</v>
      </c>
      <c r="J7" s="14"/>
      <c r="K7" s="14"/>
      <c r="L7" s="14" t="s">
        <v>45</v>
      </c>
      <c r="M7" s="14"/>
      <c r="N7" s="14"/>
      <c r="O7" s="15" t="s">
        <v>22</v>
      </c>
      <c r="P7" s="15"/>
      <c r="Q7" s="16"/>
      <c r="S7" s="11" t="s">
        <v>11</v>
      </c>
      <c r="T7" s="11"/>
      <c r="U7" s="11"/>
      <c r="V7" s="11"/>
      <c r="W7" s="10" t="s">
        <v>8</v>
      </c>
      <c r="X7" s="10"/>
      <c r="Y7" s="1" cm="1">
        <f t="array" ref="Y7">_xlfn.IFS(W7="y",1,W7="n",0,W7="wip",0.5,W7="",0.5)</f>
        <v>1</v>
      </c>
      <c r="Z7" s="3">
        <v>5</v>
      </c>
    </row>
    <row r="8" spans="1:34" ht="18.75" x14ac:dyDescent="0.25">
      <c r="A8" s="8">
        <v>3</v>
      </c>
      <c r="B8" s="12" t="s">
        <v>29</v>
      </c>
      <c r="C8" s="13"/>
      <c r="D8" s="14" t="s">
        <v>30</v>
      </c>
      <c r="E8" s="14"/>
      <c r="F8" s="14"/>
      <c r="G8" s="14"/>
      <c r="H8" s="14"/>
      <c r="I8" s="14" t="s">
        <v>4</v>
      </c>
      <c r="J8" s="14"/>
      <c r="K8" s="14"/>
      <c r="L8" s="14" t="s">
        <v>44</v>
      </c>
      <c r="M8" s="14"/>
      <c r="N8" s="14"/>
      <c r="O8" s="15" t="s">
        <v>22</v>
      </c>
      <c r="P8" s="15"/>
      <c r="Q8" s="16"/>
      <c r="S8" s="9" t="s">
        <v>12</v>
      </c>
      <c r="T8" s="9"/>
      <c r="U8" s="9"/>
      <c r="V8" s="9"/>
      <c r="W8" s="10" t="s">
        <v>9</v>
      </c>
      <c r="X8" s="10"/>
      <c r="Y8" s="1" cm="1">
        <f t="array" ref="Y8">_xlfn.IFS(W8="y",1,W8="n",0,W8="wip",0.5,W8="",0.5)</f>
        <v>0</v>
      </c>
      <c r="Z8" s="3">
        <v>3</v>
      </c>
    </row>
    <row r="9" spans="1:34" ht="18.75" x14ac:dyDescent="0.25">
      <c r="A9" s="8">
        <v>4</v>
      </c>
      <c r="B9" s="12">
        <v>45777</v>
      </c>
      <c r="C9" s="13"/>
      <c r="D9" s="14" t="s">
        <v>34</v>
      </c>
      <c r="E9" s="14"/>
      <c r="F9" s="14"/>
      <c r="G9" s="14"/>
      <c r="H9" s="14"/>
      <c r="I9" s="14" t="s">
        <v>4</v>
      </c>
      <c r="J9" s="14"/>
      <c r="K9" s="14"/>
      <c r="L9" s="14" t="s">
        <v>45</v>
      </c>
      <c r="M9" s="14"/>
      <c r="N9" s="14"/>
      <c r="O9" s="15" t="s">
        <v>22</v>
      </c>
      <c r="P9" s="15"/>
      <c r="Q9" s="16"/>
      <c r="S9" s="9" t="s">
        <v>13</v>
      </c>
      <c r="T9" s="9"/>
      <c r="U9" s="9"/>
      <c r="V9" s="9"/>
      <c r="W9" s="10" t="s">
        <v>9</v>
      </c>
      <c r="X9" s="10"/>
      <c r="Y9" s="1" cm="1">
        <f t="array" ref="Y9">_xlfn.IFS(W9="y",1,W9="n",0,W9="wip",0.5,W9="",0.5)</f>
        <v>0</v>
      </c>
      <c r="Z9" s="3">
        <v>5</v>
      </c>
    </row>
    <row r="10" spans="1:34" ht="18.75" x14ac:dyDescent="0.25">
      <c r="A10" s="8">
        <v>5</v>
      </c>
      <c r="B10" s="12">
        <v>45777</v>
      </c>
      <c r="C10" s="13"/>
      <c r="D10" s="14" t="s">
        <v>36</v>
      </c>
      <c r="E10" s="14"/>
      <c r="F10" s="14"/>
      <c r="G10" s="14"/>
      <c r="H10" s="14"/>
      <c r="I10" s="14" t="s">
        <v>4</v>
      </c>
      <c r="J10" s="14"/>
      <c r="K10" s="14"/>
      <c r="L10" s="14" t="s">
        <v>46</v>
      </c>
      <c r="M10" s="14"/>
      <c r="N10" s="14"/>
      <c r="O10" s="15" t="s">
        <v>22</v>
      </c>
      <c r="P10" s="15"/>
      <c r="Q10" s="16"/>
      <c r="S10" s="9" t="s">
        <v>14</v>
      </c>
      <c r="T10" s="9"/>
      <c r="U10" s="9"/>
      <c r="V10" s="9"/>
      <c r="W10" s="10" t="s">
        <v>9</v>
      </c>
      <c r="X10" s="10"/>
      <c r="Y10" s="1" cm="1">
        <f t="array" ref="Y10">_xlfn.IFS(W10="y",1,W10="n",0,W10="wip",0.5,W10="",0.5)</f>
        <v>0</v>
      </c>
      <c r="Z10" s="3">
        <v>4</v>
      </c>
    </row>
    <row r="11" spans="1:34" ht="18.75" x14ac:dyDescent="0.25">
      <c r="A11" s="8">
        <v>6</v>
      </c>
      <c r="B11" s="12">
        <v>45662</v>
      </c>
      <c r="C11" s="13"/>
      <c r="D11" s="26" t="s">
        <v>38</v>
      </c>
      <c r="E11" s="26"/>
      <c r="F11" s="26"/>
      <c r="G11" s="26"/>
      <c r="H11" s="26"/>
      <c r="I11" s="14" t="s">
        <v>4</v>
      </c>
      <c r="J11" s="14"/>
      <c r="K11" s="14"/>
      <c r="L11" s="14" t="s">
        <v>46</v>
      </c>
      <c r="M11" s="14"/>
      <c r="N11" s="14"/>
      <c r="O11" s="15" t="s">
        <v>40</v>
      </c>
      <c r="P11" s="15"/>
      <c r="Q11" s="16"/>
      <c r="S11" s="9" t="s">
        <v>15</v>
      </c>
      <c r="T11" s="9"/>
      <c r="U11" s="9"/>
      <c r="V11" s="9"/>
      <c r="W11" s="10" t="s">
        <v>9</v>
      </c>
      <c r="X11" s="10"/>
      <c r="Y11" s="1" cm="1">
        <f t="array" ref="Y11">_xlfn.IFS(W11="y",1,W11="n",0,W11="wip",0.5,W11="",0.5)</f>
        <v>0</v>
      </c>
      <c r="Z11" s="3">
        <v>1</v>
      </c>
    </row>
    <row r="12" spans="1:34" ht="18.75" x14ac:dyDescent="0.25">
      <c r="A12" s="8">
        <v>7</v>
      </c>
      <c r="B12" s="12">
        <v>45693</v>
      </c>
      <c r="C12" s="13"/>
      <c r="D12" s="14" t="s">
        <v>39</v>
      </c>
      <c r="E12" s="14"/>
      <c r="F12" s="14"/>
      <c r="G12" s="14"/>
      <c r="H12" s="14"/>
      <c r="I12" s="14" t="s">
        <v>4</v>
      </c>
      <c r="J12" s="14"/>
      <c r="K12" s="14"/>
      <c r="L12" s="14" t="s">
        <v>46</v>
      </c>
      <c r="M12" s="14"/>
      <c r="N12" s="14"/>
      <c r="O12" s="15" t="s">
        <v>22</v>
      </c>
      <c r="P12" s="15"/>
      <c r="Q12" s="16"/>
      <c r="S12" s="9" t="s">
        <v>16</v>
      </c>
      <c r="T12" s="9"/>
      <c r="U12" s="9"/>
      <c r="V12" s="9"/>
      <c r="W12" s="10" t="s">
        <v>9</v>
      </c>
      <c r="X12" s="10"/>
      <c r="Y12" s="1" cm="1">
        <f t="array" ref="Y12">_xlfn.IFS(W12="y",1,W12="n",0,W12="wip",0.5,W12="",0.5)</f>
        <v>0</v>
      </c>
      <c r="Z12" s="3">
        <v>4</v>
      </c>
    </row>
    <row r="13" spans="1:34" ht="18.75" x14ac:dyDescent="0.25">
      <c r="A13" s="8">
        <v>8</v>
      </c>
      <c r="B13" s="12">
        <v>45935</v>
      </c>
      <c r="C13" s="13"/>
      <c r="D13" s="14" t="s">
        <v>47</v>
      </c>
      <c r="E13" s="14"/>
      <c r="F13" s="14"/>
      <c r="G13" s="14"/>
      <c r="H13" s="14"/>
      <c r="I13" s="14" t="s">
        <v>4</v>
      </c>
      <c r="J13" s="14"/>
      <c r="K13" s="14"/>
      <c r="L13" s="14" t="s">
        <v>49</v>
      </c>
      <c r="M13" s="14"/>
      <c r="N13" s="14"/>
      <c r="O13" s="15" t="s">
        <v>22</v>
      </c>
      <c r="P13" s="15"/>
      <c r="Q13" s="16"/>
      <c r="S13" s="9" t="s">
        <v>17</v>
      </c>
      <c r="T13" s="9"/>
      <c r="U13" s="9"/>
      <c r="V13" s="9"/>
      <c r="W13" s="10" t="s">
        <v>9</v>
      </c>
      <c r="X13" s="10"/>
      <c r="Y13" s="1" cm="1">
        <f t="array" ref="Y13">_xlfn.IFS(W13="y",1,W13="n",0,W13="wip",0.5,W13="",0.5)</f>
        <v>0</v>
      </c>
      <c r="Z13" s="3">
        <v>4</v>
      </c>
    </row>
    <row r="14" spans="1:34" ht="18.75" x14ac:dyDescent="0.25">
      <c r="A14" s="8">
        <v>9</v>
      </c>
      <c r="B14" s="43" t="s">
        <v>48</v>
      </c>
      <c r="C14" s="44"/>
      <c r="D14" s="45" t="s">
        <v>50</v>
      </c>
      <c r="E14" s="45"/>
      <c r="F14" s="45"/>
      <c r="G14" s="45"/>
      <c r="H14" s="45"/>
      <c r="I14" s="45" t="s">
        <v>4</v>
      </c>
      <c r="J14" s="45"/>
      <c r="K14" s="45"/>
      <c r="L14" s="45" t="s">
        <v>51</v>
      </c>
      <c r="M14" s="45"/>
      <c r="N14" s="45"/>
      <c r="O14" s="46" t="s">
        <v>22</v>
      </c>
      <c r="P14" s="46"/>
      <c r="Q14" s="47"/>
      <c r="S14" s="9" t="s">
        <v>19</v>
      </c>
      <c r="T14" s="9"/>
      <c r="U14" s="9"/>
      <c r="V14" s="9"/>
      <c r="W14" s="10" t="s">
        <v>9</v>
      </c>
      <c r="X14" s="10"/>
      <c r="Y14" s="1" cm="1">
        <f t="array" ref="Y14">_xlfn.IFS(W14="y",1,W14="n",0,W14="wip",0.5,W14="",0.5)</f>
        <v>0</v>
      </c>
      <c r="Z14" s="3">
        <v>2</v>
      </c>
    </row>
    <row r="15" spans="1:34" ht="18.75" x14ac:dyDescent="0.25">
      <c r="A15" s="8">
        <v>10</v>
      </c>
      <c r="B15" s="12">
        <v>46072</v>
      </c>
      <c r="C15" s="13"/>
      <c r="D15" s="26" t="s">
        <v>56</v>
      </c>
      <c r="E15" s="26"/>
      <c r="F15" s="26"/>
      <c r="G15" s="26"/>
      <c r="H15" s="26"/>
      <c r="I15" s="14" t="s">
        <v>4</v>
      </c>
      <c r="J15" s="14"/>
      <c r="K15" s="14"/>
      <c r="L15" s="14" t="s">
        <v>53</v>
      </c>
      <c r="M15" s="14"/>
      <c r="N15" s="14"/>
      <c r="O15" s="15" t="s">
        <v>52</v>
      </c>
      <c r="P15" s="15"/>
      <c r="Q15" s="16"/>
      <c r="S15" s="48" t="s">
        <v>23</v>
      </c>
      <c r="T15" s="48"/>
      <c r="U15" s="48"/>
      <c r="V15" s="48"/>
      <c r="W15" s="10" t="s">
        <v>54</v>
      </c>
      <c r="X15" s="10"/>
      <c r="Y15" s="1"/>
    </row>
    <row r="16" spans="1:34" ht="18.75" x14ac:dyDescent="0.25">
      <c r="A16" s="8">
        <v>11</v>
      </c>
      <c r="B16" s="12">
        <v>46073</v>
      </c>
      <c r="C16" s="13"/>
      <c r="D16" s="14" t="s">
        <v>55</v>
      </c>
      <c r="E16" s="14"/>
      <c r="F16" s="14"/>
      <c r="G16" s="14"/>
      <c r="H16" s="14"/>
      <c r="I16" s="14" t="s">
        <v>4</v>
      </c>
      <c r="J16" s="14"/>
      <c r="K16" s="14"/>
      <c r="L16" s="14" t="s">
        <v>57</v>
      </c>
      <c r="M16" s="14"/>
      <c r="N16" s="14"/>
      <c r="O16" s="15" t="s">
        <v>22</v>
      </c>
      <c r="P16" s="15"/>
      <c r="Q16" s="16"/>
      <c r="S16" s="9" t="s">
        <v>24</v>
      </c>
      <c r="T16" s="9"/>
      <c r="U16" s="9"/>
      <c r="V16" s="9"/>
      <c r="W16" s="10" t="s">
        <v>9</v>
      </c>
      <c r="X16" s="10"/>
      <c r="Y16" s="1" cm="1">
        <f t="array" ref="Y16">_xlfn.IFS(W16="y",1,W16="n",0,W16="wip",0.5,W16="",0.5)</f>
        <v>0</v>
      </c>
      <c r="Z16" s="3">
        <v>3</v>
      </c>
    </row>
    <row r="17" spans="1:26" ht="18.75" x14ac:dyDescent="0.25">
      <c r="A17" s="8">
        <v>12</v>
      </c>
      <c r="B17" s="12"/>
      <c r="C17" s="13"/>
      <c r="D17" s="26"/>
      <c r="E17" s="26"/>
      <c r="F17" s="26"/>
      <c r="G17" s="26"/>
      <c r="H17" s="26"/>
      <c r="I17" s="14"/>
      <c r="J17" s="14"/>
      <c r="K17" s="14"/>
      <c r="L17" s="14"/>
      <c r="M17" s="14"/>
      <c r="N17" s="14"/>
      <c r="O17" s="15"/>
      <c r="P17" s="15"/>
      <c r="Q17" s="16"/>
      <c r="S17" s="9" t="s">
        <v>26</v>
      </c>
      <c r="T17" s="9"/>
      <c r="U17" s="9"/>
      <c r="V17" s="9"/>
      <c r="W17" s="10" t="s">
        <v>8</v>
      </c>
      <c r="X17" s="10"/>
      <c r="Y17" s="1" cm="1">
        <f t="array" ref="Y17">_xlfn.IFS(W17="y",1,W17="n",0,W17="wip",0.5,W17="",0.5)</f>
        <v>1</v>
      </c>
      <c r="Z17" s="3">
        <v>5</v>
      </c>
    </row>
    <row r="18" spans="1:26" ht="18.75" x14ac:dyDescent="0.25">
      <c r="A18" s="8">
        <v>13</v>
      </c>
      <c r="B18" s="12"/>
      <c r="C18" s="13"/>
      <c r="D18" s="14"/>
      <c r="E18" s="14"/>
      <c r="F18" s="14"/>
      <c r="G18" s="14"/>
      <c r="H18" s="14"/>
      <c r="I18" s="14"/>
      <c r="J18" s="14"/>
      <c r="K18" s="14"/>
      <c r="L18" s="14"/>
      <c r="M18" s="14"/>
      <c r="N18" s="14"/>
      <c r="O18" s="15"/>
      <c r="P18" s="15"/>
      <c r="Q18" s="16"/>
      <c r="S18" s="9" t="s">
        <v>27</v>
      </c>
      <c r="T18" s="9"/>
      <c r="U18" s="9"/>
      <c r="V18" s="9"/>
      <c r="W18" s="10" t="s">
        <v>8</v>
      </c>
      <c r="X18" s="10"/>
      <c r="Y18" s="1" cm="1">
        <f t="array" ref="Y18">_xlfn.IFS(W18="y",1,W18="n",0,W18="wip",0.5,W18="",0.5)</f>
        <v>1</v>
      </c>
      <c r="Z18" s="3">
        <v>5</v>
      </c>
    </row>
    <row r="19" spans="1:26" ht="18.75" x14ac:dyDescent="0.25">
      <c r="A19" s="8">
        <v>14</v>
      </c>
      <c r="B19" s="12"/>
      <c r="C19" s="13"/>
      <c r="D19" s="14"/>
      <c r="E19" s="14"/>
      <c r="F19" s="14"/>
      <c r="G19" s="14"/>
      <c r="H19" s="14"/>
      <c r="I19" s="14"/>
      <c r="J19" s="14"/>
      <c r="K19" s="14"/>
      <c r="L19" s="14"/>
      <c r="M19" s="14"/>
      <c r="N19" s="14"/>
      <c r="O19" s="15"/>
      <c r="P19" s="15"/>
      <c r="Q19" s="16"/>
      <c r="S19" s="9" t="s">
        <v>32</v>
      </c>
      <c r="T19" s="9"/>
      <c r="U19" s="9"/>
      <c r="V19" s="9"/>
      <c r="W19" s="10" t="s">
        <v>9</v>
      </c>
      <c r="X19" s="10"/>
      <c r="Y19" s="1" cm="1">
        <f t="array" ref="Y19">_xlfn.IFS(W19="y",1,W19="n",0,W19="wip",0.5,W19="",0.5)</f>
        <v>0</v>
      </c>
      <c r="Z19" s="3">
        <v>5</v>
      </c>
    </row>
    <row r="20" spans="1:26" ht="18.75" x14ac:dyDescent="0.25">
      <c r="A20" s="8">
        <v>15</v>
      </c>
      <c r="B20" s="12"/>
      <c r="C20" s="13"/>
      <c r="D20" s="14"/>
      <c r="E20" s="14"/>
      <c r="F20" s="14"/>
      <c r="G20" s="14"/>
      <c r="H20" s="14"/>
      <c r="I20" s="14"/>
      <c r="J20" s="14"/>
      <c r="K20" s="14"/>
      <c r="L20" s="14"/>
      <c r="M20" s="14"/>
      <c r="N20" s="14"/>
      <c r="O20" s="15"/>
      <c r="P20" s="15"/>
      <c r="Q20" s="16"/>
      <c r="S20" s="9" t="s">
        <v>33</v>
      </c>
      <c r="T20" s="9"/>
      <c r="U20" s="9"/>
      <c r="V20" s="9"/>
      <c r="W20" s="10" t="s">
        <v>9</v>
      </c>
      <c r="X20" s="10"/>
      <c r="Y20" s="1" cm="1">
        <f t="array" ref="Y20">_xlfn.IFS(W20="y",1,W20="n",0,W20="wip",0.5,W20="",0.5)</f>
        <v>0</v>
      </c>
      <c r="Z20" s="3">
        <v>3</v>
      </c>
    </row>
    <row r="21" spans="1:26" ht="18.75" x14ac:dyDescent="0.25">
      <c r="A21" s="8">
        <v>16</v>
      </c>
      <c r="B21" s="12"/>
      <c r="C21" s="13"/>
      <c r="D21" s="14"/>
      <c r="E21" s="14"/>
      <c r="F21" s="14"/>
      <c r="G21" s="14"/>
      <c r="H21" s="14"/>
      <c r="I21" s="14"/>
      <c r="J21" s="14"/>
      <c r="K21" s="14"/>
      <c r="L21" s="14"/>
      <c r="M21" s="14"/>
      <c r="N21" s="14"/>
      <c r="O21" s="15"/>
      <c r="P21" s="15"/>
      <c r="Q21" s="16"/>
      <c r="S21" s="9" t="s">
        <v>37</v>
      </c>
      <c r="T21" s="9"/>
      <c r="U21" s="9"/>
      <c r="V21" s="9"/>
      <c r="W21" s="10" t="s">
        <v>8</v>
      </c>
      <c r="X21" s="10"/>
      <c r="Y21" s="1" cm="1">
        <f t="array" ref="Y21">_xlfn.IFS(W21="y",1,W21="n",0,W21="wip",0.5,W21="",0.5)</f>
        <v>1</v>
      </c>
      <c r="Z21" s="3">
        <v>5</v>
      </c>
    </row>
    <row r="22" spans="1:26" ht="18.75" x14ac:dyDescent="0.25">
      <c r="A22" s="8">
        <v>17</v>
      </c>
      <c r="B22" s="12"/>
      <c r="C22" s="13"/>
      <c r="D22" s="14"/>
      <c r="E22" s="14"/>
      <c r="F22" s="14"/>
      <c r="G22" s="14"/>
      <c r="H22" s="14"/>
      <c r="I22" s="14"/>
      <c r="J22" s="14"/>
      <c r="K22" s="14"/>
      <c r="L22" s="14"/>
      <c r="M22" s="14"/>
      <c r="N22" s="14"/>
      <c r="O22" s="15"/>
      <c r="P22" s="15"/>
      <c r="Q22" s="16"/>
      <c r="S22" s="9" t="s">
        <v>41</v>
      </c>
      <c r="T22" s="9"/>
      <c r="U22" s="9"/>
      <c r="V22" s="9"/>
      <c r="W22" s="10" t="s">
        <v>9</v>
      </c>
      <c r="X22" s="10"/>
      <c r="Y22" s="1" cm="1">
        <f t="array" ref="Y22">_xlfn.IFS(W22="y",1,W22="n",0,W22="wip",0.5,W22="",0.5)</f>
        <v>0</v>
      </c>
      <c r="Z22" s="3">
        <v>5</v>
      </c>
    </row>
    <row r="23" spans="1:26" ht="18.75" x14ac:dyDescent="0.25">
      <c r="A23" s="8">
        <v>18</v>
      </c>
      <c r="B23" s="12"/>
      <c r="C23" s="13"/>
      <c r="D23" s="14"/>
      <c r="E23" s="14"/>
      <c r="F23" s="14"/>
      <c r="G23" s="14"/>
      <c r="H23" s="14"/>
      <c r="I23" s="14"/>
      <c r="J23" s="14"/>
      <c r="K23" s="14"/>
      <c r="L23" s="14"/>
      <c r="M23" s="14"/>
      <c r="N23" s="14"/>
      <c r="O23" s="15"/>
      <c r="P23" s="15"/>
      <c r="Q23" s="16"/>
      <c r="S23" s="9" t="s">
        <v>42</v>
      </c>
      <c r="T23" s="9"/>
      <c r="U23" s="9"/>
      <c r="V23" s="9"/>
      <c r="W23" s="10" t="s">
        <v>8</v>
      </c>
      <c r="X23" s="10"/>
      <c r="Y23" s="1" cm="1">
        <f t="array" ref="Y23">_xlfn.IFS(W23="y",1,W23="n",0,W23="wip",0.5,W23="",0.5)</f>
        <v>1</v>
      </c>
      <c r="Z23" s="3">
        <v>5</v>
      </c>
    </row>
    <row r="24" spans="1:26" ht="18.75" x14ac:dyDescent="0.25">
      <c r="A24" s="8">
        <v>19</v>
      </c>
      <c r="B24" s="12"/>
      <c r="C24" s="13"/>
      <c r="D24" s="14"/>
      <c r="E24" s="14"/>
      <c r="F24" s="14"/>
      <c r="G24" s="14"/>
      <c r="H24" s="14"/>
      <c r="I24" s="14"/>
      <c r="J24" s="14"/>
      <c r="K24" s="14"/>
      <c r="L24" s="14"/>
      <c r="M24" s="14"/>
      <c r="N24" s="14"/>
      <c r="O24" s="15"/>
      <c r="P24" s="15"/>
      <c r="Q24" s="16"/>
      <c r="S24" s="48" t="s">
        <v>43</v>
      </c>
      <c r="T24" s="48"/>
      <c r="U24" s="48"/>
      <c r="V24" s="48"/>
      <c r="W24" s="10" t="s">
        <v>54</v>
      </c>
      <c r="X24" s="10"/>
      <c r="Y24" s="1"/>
    </row>
    <row r="25" spans="1:26" ht="18.75" x14ac:dyDescent="0.25">
      <c r="A25" s="8">
        <v>20</v>
      </c>
      <c r="B25" s="12"/>
      <c r="C25" s="13"/>
      <c r="D25" s="14"/>
      <c r="E25" s="14"/>
      <c r="F25" s="14"/>
      <c r="G25" s="14"/>
      <c r="H25" s="14"/>
      <c r="I25" s="14"/>
      <c r="J25" s="14"/>
      <c r="K25" s="14"/>
      <c r="L25" s="14"/>
      <c r="M25" s="14"/>
      <c r="N25" s="14"/>
      <c r="O25" s="15"/>
      <c r="P25" s="15"/>
      <c r="Q25" s="16"/>
      <c r="S25" s="9" t="s">
        <v>59</v>
      </c>
      <c r="T25" s="9"/>
      <c r="U25" s="9"/>
      <c r="V25" s="9"/>
      <c r="W25" s="10" t="s">
        <v>9</v>
      </c>
      <c r="X25" s="10"/>
      <c r="Y25" s="1" cm="1">
        <f t="array" ref="Y25">_xlfn.IFS(W25="y",1,W25="n",0,W25="wip",0.5,W25="",0.5)</f>
        <v>0</v>
      </c>
      <c r="Z25" s="3">
        <v>5</v>
      </c>
    </row>
    <row r="26" spans="1:26" ht="18.75" x14ac:dyDescent="0.25">
      <c r="A26" s="8">
        <v>21</v>
      </c>
      <c r="B26" s="12"/>
      <c r="C26" s="13"/>
      <c r="D26" s="14"/>
      <c r="E26" s="14"/>
      <c r="F26" s="14"/>
      <c r="G26" s="14"/>
      <c r="H26" s="14"/>
      <c r="I26" s="14"/>
      <c r="J26" s="14"/>
      <c r="K26" s="14"/>
      <c r="L26" s="14"/>
      <c r="M26" s="14"/>
      <c r="N26" s="14"/>
      <c r="O26" s="15"/>
      <c r="P26" s="15"/>
      <c r="Q26" s="16"/>
      <c r="S26" s="9" t="s">
        <v>60</v>
      </c>
      <c r="T26" s="9"/>
      <c r="U26" s="9"/>
      <c r="V26" s="9"/>
      <c r="W26" s="10" t="s">
        <v>9</v>
      </c>
      <c r="X26" s="10"/>
      <c r="Y26" s="1" cm="1">
        <f t="array" ref="Y26">_xlfn.IFS(W26="y",1,W26="n",0,W26="wip",0.5,W26="",0.5)</f>
        <v>0</v>
      </c>
      <c r="Z26" s="3">
        <v>5</v>
      </c>
    </row>
    <row r="27" spans="1:26" ht="18.75" x14ac:dyDescent="0.25">
      <c r="A27" s="8">
        <v>22</v>
      </c>
      <c r="B27" s="12"/>
      <c r="C27" s="13"/>
      <c r="D27" s="14"/>
      <c r="E27" s="14"/>
      <c r="F27" s="14"/>
      <c r="G27" s="14"/>
      <c r="H27" s="14"/>
      <c r="I27" s="14"/>
      <c r="J27" s="14"/>
      <c r="K27" s="14"/>
      <c r="L27" s="14"/>
      <c r="M27" s="14"/>
      <c r="N27" s="14"/>
      <c r="O27" s="15"/>
      <c r="P27" s="15"/>
      <c r="Q27" s="16"/>
      <c r="S27" s="9" t="s">
        <v>61</v>
      </c>
      <c r="T27" s="9"/>
      <c r="U27" s="9"/>
      <c r="V27" s="9"/>
      <c r="W27" s="10" t="s">
        <v>8</v>
      </c>
      <c r="X27" s="10"/>
      <c r="Y27" s="1" cm="1">
        <f t="array" ref="Y27">_xlfn.IFS(W27="y",1,W27="n",0,W27="wip",0.5,W27="",0.5)</f>
        <v>1</v>
      </c>
      <c r="Z27" s="3">
        <v>5</v>
      </c>
    </row>
    <row r="28" spans="1:26" ht="18.75" x14ac:dyDescent="0.25">
      <c r="A28" s="8">
        <v>23</v>
      </c>
      <c r="B28" s="12"/>
      <c r="C28" s="13"/>
      <c r="D28" s="14"/>
      <c r="E28" s="14"/>
      <c r="F28" s="14"/>
      <c r="G28" s="14"/>
      <c r="H28" s="14"/>
      <c r="I28" s="14"/>
      <c r="J28" s="14"/>
      <c r="K28" s="14"/>
      <c r="L28" s="14"/>
      <c r="M28" s="14"/>
      <c r="N28" s="14"/>
      <c r="O28" s="15"/>
      <c r="P28" s="15"/>
      <c r="Q28" s="16"/>
      <c r="S28" s="9"/>
      <c r="T28" s="9"/>
      <c r="U28" s="9"/>
      <c r="V28" s="9"/>
      <c r="W28" s="10"/>
      <c r="X28" s="10"/>
      <c r="Y28" s="1" cm="1">
        <f t="array" ref="Y28">_xlfn.IFS(W28="y",1,W28="n",0,W28="wip",0.5,W28="",0.5)</f>
        <v>0.5</v>
      </c>
    </row>
    <row r="29" spans="1:26" ht="18.75" x14ac:dyDescent="0.25">
      <c r="A29" s="8">
        <v>24</v>
      </c>
      <c r="B29" s="12"/>
      <c r="C29" s="13"/>
      <c r="D29" s="14"/>
      <c r="E29" s="14"/>
      <c r="F29" s="14"/>
      <c r="G29" s="14"/>
      <c r="H29" s="14"/>
      <c r="I29" s="14"/>
      <c r="J29" s="14"/>
      <c r="K29" s="14"/>
      <c r="L29" s="14"/>
      <c r="M29" s="14"/>
      <c r="N29" s="14"/>
      <c r="O29" s="15"/>
      <c r="P29" s="15"/>
      <c r="Q29" s="16"/>
      <c r="S29" s="9"/>
      <c r="T29" s="9"/>
      <c r="U29" s="9"/>
      <c r="V29" s="9"/>
      <c r="W29" s="10"/>
      <c r="X29" s="10"/>
      <c r="Y29" s="1" cm="1">
        <f t="array" ref="Y29">_xlfn.IFS(W29="y",1,W29="n",0,W29="wip",0.5,W29="",0.5)</f>
        <v>0.5</v>
      </c>
    </row>
    <row r="30" spans="1:26" ht="18.75" x14ac:dyDescent="0.25">
      <c r="A30" s="8">
        <v>25</v>
      </c>
      <c r="B30" s="12"/>
      <c r="C30" s="13"/>
      <c r="D30" s="14"/>
      <c r="E30" s="14"/>
      <c r="F30" s="14"/>
      <c r="G30" s="14"/>
      <c r="H30" s="14"/>
      <c r="I30" s="14"/>
      <c r="J30" s="14"/>
      <c r="K30" s="14"/>
      <c r="L30" s="14"/>
      <c r="M30" s="14"/>
      <c r="N30" s="14"/>
      <c r="O30" s="15"/>
      <c r="P30" s="15"/>
      <c r="Q30" s="16"/>
      <c r="S30" s="9"/>
      <c r="T30" s="9"/>
      <c r="U30" s="9"/>
      <c r="V30" s="9"/>
      <c r="W30" s="10"/>
      <c r="X30" s="10"/>
      <c r="Y30" s="1" cm="1">
        <f t="array" ref="Y30">_xlfn.IFS(W30="y",1,W30="n",0,W30="wip",0.5,W30="",0.5)</f>
        <v>0.5</v>
      </c>
    </row>
    <row r="31" spans="1:26" ht="18.75" x14ac:dyDescent="0.25">
      <c r="A31" s="8">
        <v>26</v>
      </c>
      <c r="B31" s="12"/>
      <c r="C31" s="13"/>
      <c r="D31" s="14"/>
      <c r="E31" s="14"/>
      <c r="F31" s="14"/>
      <c r="G31" s="14"/>
      <c r="H31" s="14"/>
      <c r="I31" s="14"/>
      <c r="J31" s="14"/>
      <c r="K31" s="14"/>
      <c r="L31" s="14"/>
      <c r="M31" s="14"/>
      <c r="N31" s="14"/>
      <c r="O31" s="15"/>
      <c r="P31" s="15"/>
      <c r="Q31" s="16"/>
      <c r="S31" s="9"/>
      <c r="T31" s="9"/>
      <c r="U31" s="9"/>
      <c r="V31" s="9"/>
      <c r="W31" s="10"/>
      <c r="X31" s="10"/>
      <c r="Y31" s="1" cm="1">
        <f t="array" ref="Y31">_xlfn.IFS(W31="y",1,W31="n",0,W31="wip",0.5,W31="",0.5)</f>
        <v>0.5</v>
      </c>
    </row>
    <row r="32" spans="1:26" ht="18.75" x14ac:dyDescent="0.25">
      <c r="A32" s="8">
        <v>27</v>
      </c>
      <c r="B32" s="12"/>
      <c r="C32" s="13"/>
      <c r="D32" s="14"/>
      <c r="E32" s="14"/>
      <c r="F32" s="14"/>
      <c r="G32" s="14"/>
      <c r="H32" s="14"/>
      <c r="I32" s="14"/>
      <c r="J32" s="14"/>
      <c r="K32" s="14"/>
      <c r="L32" s="14"/>
      <c r="M32" s="14"/>
      <c r="N32" s="14"/>
      <c r="O32" s="15"/>
      <c r="P32" s="15"/>
      <c r="Q32" s="16"/>
      <c r="S32" s="9"/>
      <c r="T32" s="9"/>
      <c r="U32" s="9"/>
      <c r="V32" s="9"/>
      <c r="W32" s="10"/>
      <c r="X32" s="10"/>
      <c r="Y32" s="1" cm="1">
        <f t="array" ref="Y32">_xlfn.IFS(W32="y",1,W32="n",0,W32="wip",0.5,W32="",0.5)</f>
        <v>0.5</v>
      </c>
    </row>
    <row r="33" spans="1:25" ht="18.75" x14ac:dyDescent="0.25">
      <c r="A33" s="8">
        <v>28</v>
      </c>
      <c r="B33" s="12"/>
      <c r="C33" s="13"/>
      <c r="D33" s="14"/>
      <c r="E33" s="14"/>
      <c r="F33" s="14"/>
      <c r="G33" s="14"/>
      <c r="H33" s="14"/>
      <c r="I33" s="14"/>
      <c r="J33" s="14"/>
      <c r="K33" s="14"/>
      <c r="L33" s="14"/>
      <c r="M33" s="14"/>
      <c r="N33" s="14"/>
      <c r="O33" s="15"/>
      <c r="P33" s="15"/>
      <c r="Q33" s="16"/>
      <c r="S33" s="9"/>
      <c r="T33" s="9"/>
      <c r="U33" s="9"/>
      <c r="V33" s="9"/>
      <c r="W33" s="10"/>
      <c r="X33" s="10"/>
      <c r="Y33" s="1" cm="1">
        <f t="array" ref="Y33">_xlfn.IFS(W33="y",1,W33="n",0,W33="wip",0.5,W33="",0.5)</f>
        <v>0.5</v>
      </c>
    </row>
    <row r="34" spans="1:25" ht="18.75" x14ac:dyDescent="0.25">
      <c r="A34" s="8">
        <v>29</v>
      </c>
      <c r="B34" s="12"/>
      <c r="C34" s="13"/>
      <c r="D34" s="14"/>
      <c r="E34" s="14"/>
      <c r="F34" s="14"/>
      <c r="G34" s="14"/>
      <c r="H34" s="14"/>
      <c r="I34" s="14"/>
      <c r="J34" s="14"/>
      <c r="K34" s="14"/>
      <c r="L34" s="14"/>
      <c r="M34" s="14"/>
      <c r="N34" s="14"/>
      <c r="O34" s="15"/>
      <c r="P34" s="15"/>
      <c r="Q34" s="16"/>
      <c r="S34" s="9"/>
      <c r="T34" s="9"/>
      <c r="U34" s="9"/>
      <c r="V34" s="9"/>
      <c r="W34" s="10"/>
      <c r="X34" s="10"/>
      <c r="Y34" s="1" cm="1">
        <f t="array" ref="Y34">_xlfn.IFS(W34="y",1,W34="n",0,W34="wip",0.5,W34="",0.5)</f>
        <v>0.5</v>
      </c>
    </row>
    <row r="35" spans="1:25" ht="18.75" x14ac:dyDescent="0.25">
      <c r="A35" s="8">
        <v>30</v>
      </c>
      <c r="B35" s="12"/>
      <c r="C35" s="13"/>
      <c r="D35" s="14"/>
      <c r="E35" s="14"/>
      <c r="F35" s="14"/>
      <c r="G35" s="14"/>
      <c r="H35" s="14"/>
      <c r="I35" s="14"/>
      <c r="J35" s="14"/>
      <c r="K35" s="14"/>
      <c r="L35" s="14"/>
      <c r="M35" s="14"/>
      <c r="N35" s="14"/>
      <c r="O35" s="15"/>
      <c r="P35" s="15"/>
      <c r="Q35" s="16"/>
      <c r="S35" s="9"/>
      <c r="T35" s="9"/>
      <c r="U35" s="9"/>
      <c r="V35" s="9"/>
      <c r="W35" s="10"/>
      <c r="X35" s="10"/>
      <c r="Y35" s="1" cm="1">
        <f t="array" ref="Y35">_xlfn.IFS(W35="y",1,W35="n",0,W35="wip",0.5,W35="",0.5)</f>
        <v>0.5</v>
      </c>
    </row>
    <row r="36" spans="1:25" ht="18.75" x14ac:dyDescent="0.25">
      <c r="A36" s="8">
        <v>31</v>
      </c>
      <c r="B36" s="12"/>
      <c r="C36" s="13"/>
      <c r="D36" s="14"/>
      <c r="E36" s="14"/>
      <c r="F36" s="14"/>
      <c r="G36" s="14"/>
      <c r="H36" s="14"/>
      <c r="I36" s="14"/>
      <c r="J36" s="14"/>
      <c r="K36" s="14"/>
      <c r="L36" s="14"/>
      <c r="M36" s="14"/>
      <c r="N36" s="14"/>
      <c r="O36" s="15"/>
      <c r="P36" s="15"/>
      <c r="Q36" s="16"/>
      <c r="S36" s="9"/>
      <c r="T36" s="9"/>
      <c r="U36" s="9"/>
      <c r="V36" s="9"/>
      <c r="W36" s="10"/>
      <c r="X36" s="10"/>
      <c r="Y36" s="1" cm="1">
        <f t="array" ref="Y36">_xlfn.IFS(W36="y",1,W36="n",0,W36="wip",0.5,W36="",0.5)</f>
        <v>0.5</v>
      </c>
    </row>
    <row r="37" spans="1:25" ht="18.75" x14ac:dyDescent="0.25">
      <c r="A37" s="8">
        <v>32</v>
      </c>
      <c r="B37" s="12"/>
      <c r="C37" s="13"/>
      <c r="D37" s="14"/>
      <c r="E37" s="14"/>
      <c r="F37" s="14"/>
      <c r="G37" s="14"/>
      <c r="H37" s="14"/>
      <c r="I37" s="14"/>
      <c r="J37" s="14"/>
      <c r="K37" s="14"/>
      <c r="L37" s="14"/>
      <c r="M37" s="14"/>
      <c r="N37" s="14"/>
      <c r="O37" s="15"/>
      <c r="P37" s="15"/>
      <c r="Q37" s="16"/>
      <c r="S37" s="9"/>
      <c r="T37" s="9"/>
      <c r="U37" s="9"/>
      <c r="V37" s="9"/>
      <c r="W37" s="10"/>
      <c r="X37" s="10"/>
      <c r="Y37" s="1" cm="1">
        <f t="array" ref="Y37">_xlfn.IFS(W37="y",1,W37="n",0,W37="wip",0.5,W37="",0.5)</f>
        <v>0.5</v>
      </c>
    </row>
    <row r="38" spans="1:25" ht="18.75" x14ac:dyDescent="0.25">
      <c r="A38" s="8">
        <v>33</v>
      </c>
      <c r="B38" s="12"/>
      <c r="C38" s="13"/>
      <c r="D38" s="14"/>
      <c r="E38" s="14"/>
      <c r="F38" s="14"/>
      <c r="G38" s="14"/>
      <c r="H38" s="14"/>
      <c r="I38" s="14"/>
      <c r="J38" s="14"/>
      <c r="K38" s="14"/>
      <c r="L38" s="14"/>
      <c r="M38" s="14"/>
      <c r="N38" s="14"/>
      <c r="O38" s="15"/>
      <c r="P38" s="15"/>
      <c r="Q38" s="16"/>
      <c r="S38" s="9"/>
      <c r="T38" s="9"/>
      <c r="U38" s="9"/>
      <c r="V38" s="9"/>
      <c r="W38" s="10"/>
      <c r="X38" s="10"/>
      <c r="Y38" s="1" cm="1">
        <f t="array" ref="Y38">_xlfn.IFS(W38="y",1,W38="n",0,W38="wip",0.5,W38="",0.5)</f>
        <v>0.5</v>
      </c>
    </row>
    <row r="39" spans="1:25" ht="18.75" x14ac:dyDescent="0.25">
      <c r="A39" s="8">
        <v>34</v>
      </c>
      <c r="B39" s="12"/>
      <c r="C39" s="13"/>
      <c r="D39" s="14"/>
      <c r="E39" s="14"/>
      <c r="F39" s="14"/>
      <c r="G39" s="14"/>
      <c r="H39" s="14"/>
      <c r="I39" s="14"/>
      <c r="J39" s="14"/>
      <c r="K39" s="14"/>
      <c r="L39" s="14"/>
      <c r="M39" s="14"/>
      <c r="N39" s="14"/>
      <c r="O39" s="15"/>
      <c r="P39" s="15"/>
      <c r="Q39" s="16"/>
      <c r="S39" s="9"/>
      <c r="T39" s="9"/>
      <c r="U39" s="9"/>
      <c r="V39" s="9"/>
      <c r="W39" s="10"/>
      <c r="X39" s="10"/>
      <c r="Y39" s="1" cm="1">
        <f t="array" ref="Y39">_xlfn.IFS(W39="y",1,W39="n",0,W39="wip",0.5,W39="",0.5)</f>
        <v>0.5</v>
      </c>
    </row>
    <row r="40" spans="1:25" ht="18.75" x14ac:dyDescent="0.25">
      <c r="A40" s="8">
        <v>35</v>
      </c>
      <c r="B40" s="12"/>
      <c r="C40" s="13"/>
      <c r="D40" s="14"/>
      <c r="E40" s="14"/>
      <c r="F40" s="14"/>
      <c r="G40" s="14"/>
      <c r="H40" s="14"/>
      <c r="I40" s="14"/>
      <c r="J40" s="14"/>
      <c r="K40" s="14"/>
      <c r="L40" s="14"/>
      <c r="M40" s="14"/>
      <c r="N40" s="14"/>
      <c r="O40" s="15"/>
      <c r="P40" s="15"/>
      <c r="Q40" s="16"/>
      <c r="S40" s="9"/>
      <c r="T40" s="9"/>
      <c r="U40" s="9"/>
      <c r="V40" s="9"/>
      <c r="W40" s="10"/>
      <c r="X40" s="10"/>
      <c r="Y40" s="1" cm="1">
        <f t="array" ref="Y40">_xlfn.IFS(W40="y",1,W40="n",0,W40="wip",0.5,W40="",0.5)</f>
        <v>0.5</v>
      </c>
    </row>
    <row r="41" spans="1:25" ht="18.75" x14ac:dyDescent="0.25">
      <c r="A41" s="8">
        <v>36</v>
      </c>
      <c r="B41" s="12"/>
      <c r="C41" s="13"/>
      <c r="D41" s="14"/>
      <c r="E41" s="14"/>
      <c r="F41" s="14"/>
      <c r="G41" s="14"/>
      <c r="H41" s="14"/>
      <c r="I41" s="14"/>
      <c r="J41" s="14"/>
      <c r="K41" s="14"/>
      <c r="L41" s="14"/>
      <c r="M41" s="14"/>
      <c r="N41" s="14"/>
      <c r="O41" s="15"/>
      <c r="P41" s="15"/>
      <c r="Q41" s="16"/>
      <c r="S41" s="9"/>
      <c r="T41" s="9"/>
      <c r="U41" s="9"/>
      <c r="V41" s="9"/>
      <c r="W41" s="10"/>
      <c r="X41" s="10"/>
      <c r="Y41" s="1" cm="1">
        <f t="array" ref="Y41">_xlfn.IFS(W41="y",1,W41="n",0,W41="wip",0.5,W41="",0.5)</f>
        <v>0.5</v>
      </c>
    </row>
    <row r="42" spans="1:25" ht="18.75" x14ac:dyDescent="0.25">
      <c r="A42" s="8">
        <v>37</v>
      </c>
      <c r="B42" s="12"/>
      <c r="C42" s="13"/>
      <c r="D42" s="14"/>
      <c r="E42" s="14"/>
      <c r="F42" s="14"/>
      <c r="G42" s="14"/>
      <c r="H42" s="14"/>
      <c r="I42" s="14"/>
      <c r="J42" s="14"/>
      <c r="K42" s="14"/>
      <c r="L42" s="14"/>
      <c r="M42" s="14"/>
      <c r="N42" s="14"/>
      <c r="O42" s="15"/>
      <c r="P42" s="15"/>
      <c r="Q42" s="16"/>
      <c r="S42" s="9"/>
      <c r="T42" s="9"/>
      <c r="U42" s="9"/>
      <c r="V42" s="9"/>
      <c r="W42" s="10"/>
      <c r="X42" s="10"/>
      <c r="Y42" s="1" cm="1">
        <f t="array" ref="Y42">_xlfn.IFS(W42="y",1,W42="n",0,W42="wip",0.5,W42="",0.5)</f>
        <v>0.5</v>
      </c>
    </row>
    <row r="43" spans="1:25" ht="18.75" x14ac:dyDescent="0.25">
      <c r="A43" s="8">
        <v>38</v>
      </c>
      <c r="B43" s="12"/>
      <c r="C43" s="13"/>
      <c r="D43" s="14"/>
      <c r="E43" s="14"/>
      <c r="F43" s="14"/>
      <c r="G43" s="14"/>
      <c r="H43" s="14"/>
      <c r="I43" s="14"/>
      <c r="J43" s="14"/>
      <c r="K43" s="14"/>
      <c r="L43" s="14"/>
      <c r="M43" s="14"/>
      <c r="N43" s="14"/>
      <c r="O43" s="15"/>
      <c r="P43" s="15"/>
      <c r="Q43" s="16"/>
      <c r="S43" s="9"/>
      <c r="T43" s="9"/>
      <c r="U43" s="9"/>
      <c r="V43" s="9"/>
      <c r="W43" s="10"/>
      <c r="X43" s="10"/>
      <c r="Y43" s="1" cm="1">
        <f t="array" ref="Y43">_xlfn.IFS(W43="y",1,W43="n",0,W43="wip",0.5,W43="",0.5)</f>
        <v>0.5</v>
      </c>
    </row>
    <row r="44" spans="1:25" ht="18.75" x14ac:dyDescent="0.25">
      <c r="A44" s="8">
        <v>39</v>
      </c>
      <c r="B44" s="12"/>
      <c r="C44" s="13"/>
      <c r="D44" s="14"/>
      <c r="E44" s="14"/>
      <c r="F44" s="14"/>
      <c r="G44" s="14"/>
      <c r="H44" s="14"/>
      <c r="I44" s="14"/>
      <c r="J44" s="14"/>
      <c r="K44" s="14"/>
      <c r="L44" s="14"/>
      <c r="M44" s="14"/>
      <c r="N44" s="14"/>
      <c r="O44" s="15"/>
      <c r="P44" s="15"/>
      <c r="Q44" s="16"/>
      <c r="S44" s="9"/>
      <c r="T44" s="9"/>
      <c r="U44" s="9"/>
      <c r="V44" s="9"/>
      <c r="W44" s="10"/>
      <c r="X44" s="10"/>
      <c r="Y44" s="1" cm="1">
        <f t="array" ref="Y44">_xlfn.IFS(W44="y",1,W44="n",0,W44="wip",0.5,W44="",0.5)</f>
        <v>0.5</v>
      </c>
    </row>
    <row r="45" spans="1:25" ht="18.75" x14ac:dyDescent="0.25">
      <c r="A45" s="8">
        <v>40</v>
      </c>
      <c r="B45" s="12"/>
      <c r="C45" s="13"/>
      <c r="D45" s="14"/>
      <c r="E45" s="14"/>
      <c r="F45" s="14"/>
      <c r="G45" s="14"/>
      <c r="H45" s="14"/>
      <c r="I45" s="14"/>
      <c r="J45" s="14"/>
      <c r="K45" s="14"/>
      <c r="L45" s="14"/>
      <c r="M45" s="14"/>
      <c r="N45" s="14"/>
      <c r="O45" s="15"/>
      <c r="P45" s="15"/>
      <c r="Q45" s="16"/>
      <c r="S45" s="9"/>
      <c r="T45" s="9"/>
      <c r="U45" s="9"/>
      <c r="V45" s="9"/>
      <c r="W45" s="10"/>
      <c r="X45" s="10"/>
      <c r="Y45" s="1" cm="1">
        <f t="array" ref="Y45">_xlfn.IFS(W45="y",1,W45="n",0,W45="wip",0.5,W45="",0.5)</f>
        <v>0.5</v>
      </c>
    </row>
    <row r="46" spans="1:25" ht="18.75" x14ac:dyDescent="0.25">
      <c r="A46" s="8">
        <v>41</v>
      </c>
      <c r="B46" s="12"/>
      <c r="C46" s="13"/>
      <c r="D46" s="14"/>
      <c r="E46" s="14"/>
      <c r="F46" s="14"/>
      <c r="G46" s="14"/>
      <c r="H46" s="14"/>
      <c r="I46" s="14"/>
      <c r="J46" s="14"/>
      <c r="K46" s="14"/>
      <c r="L46" s="14"/>
      <c r="M46" s="14"/>
      <c r="N46" s="14"/>
      <c r="O46" s="15"/>
      <c r="P46" s="15"/>
      <c r="Q46" s="16"/>
      <c r="S46" s="9"/>
      <c r="T46" s="9"/>
      <c r="U46" s="9"/>
      <c r="V46" s="9"/>
      <c r="W46" s="10"/>
      <c r="X46" s="10"/>
      <c r="Y46" s="1" cm="1">
        <f t="array" ref="Y46">_xlfn.IFS(W46="y",1,W46="n",0,W46="wip",0.5,W46="",0.5)</f>
        <v>0.5</v>
      </c>
    </row>
    <row r="47" spans="1:25" ht="18.75" x14ac:dyDescent="0.25">
      <c r="A47" s="8">
        <v>42</v>
      </c>
      <c r="B47" s="12"/>
      <c r="C47" s="13"/>
      <c r="D47" s="14"/>
      <c r="E47" s="14"/>
      <c r="F47" s="14"/>
      <c r="G47" s="14"/>
      <c r="H47" s="14"/>
      <c r="I47" s="14"/>
      <c r="J47" s="14"/>
      <c r="K47" s="14"/>
      <c r="L47" s="14"/>
      <c r="M47" s="14"/>
      <c r="N47" s="14"/>
      <c r="O47" s="15"/>
      <c r="P47" s="15"/>
      <c r="Q47" s="16"/>
      <c r="S47" s="9"/>
      <c r="T47" s="9"/>
      <c r="U47" s="9"/>
      <c r="V47" s="9"/>
      <c r="W47" s="10"/>
      <c r="X47" s="10"/>
      <c r="Y47" s="1" cm="1">
        <f t="array" ref="Y47">_xlfn.IFS(W47="y",1,W47="n",0,W47="wip",0.5,W47="",0.5)</f>
        <v>0.5</v>
      </c>
    </row>
    <row r="48" spans="1:25" ht="18.75" x14ac:dyDescent="0.25">
      <c r="A48" s="8">
        <v>43</v>
      </c>
      <c r="B48" s="12"/>
      <c r="C48" s="13"/>
      <c r="D48" s="14"/>
      <c r="E48" s="14"/>
      <c r="F48" s="14"/>
      <c r="G48" s="14"/>
      <c r="H48" s="14"/>
      <c r="I48" s="14"/>
      <c r="J48" s="14"/>
      <c r="K48" s="14"/>
      <c r="L48" s="14"/>
      <c r="M48" s="14"/>
      <c r="N48" s="14"/>
      <c r="O48" s="15"/>
      <c r="P48" s="15"/>
      <c r="Q48" s="16"/>
      <c r="S48" s="9"/>
      <c r="T48" s="9"/>
      <c r="U48" s="9"/>
      <c r="V48" s="9"/>
      <c r="W48" s="10"/>
      <c r="X48" s="10"/>
      <c r="Y48" s="1" cm="1">
        <f t="array" ref="Y48">_xlfn.IFS(W48="y",1,W48="n",0,W48="wip",0.5,W48="",0.5)</f>
        <v>0.5</v>
      </c>
    </row>
    <row r="49" spans="1:25" ht="18.75" x14ac:dyDescent="0.25">
      <c r="A49" s="8">
        <v>44</v>
      </c>
      <c r="B49" s="12"/>
      <c r="C49" s="13"/>
      <c r="D49" s="14"/>
      <c r="E49" s="14"/>
      <c r="F49" s="14"/>
      <c r="G49" s="14"/>
      <c r="H49" s="14"/>
      <c r="I49" s="14"/>
      <c r="J49" s="14"/>
      <c r="K49" s="14"/>
      <c r="L49" s="14"/>
      <c r="M49" s="14"/>
      <c r="N49" s="14"/>
      <c r="O49" s="15"/>
      <c r="P49" s="15"/>
      <c r="Q49" s="16"/>
      <c r="S49" s="9"/>
      <c r="T49" s="9"/>
      <c r="U49" s="9"/>
      <c r="V49" s="9"/>
      <c r="W49" s="10"/>
      <c r="X49" s="10"/>
      <c r="Y49" s="1" cm="1">
        <f t="array" ref="Y49">_xlfn.IFS(W49="y",1,W49="n",0,W49="wip",0.5,W49="",0.5)</f>
        <v>0.5</v>
      </c>
    </row>
    <row r="50" spans="1:25" ht="18.75" x14ac:dyDescent="0.25">
      <c r="A50" s="8">
        <v>45</v>
      </c>
      <c r="B50" s="12"/>
      <c r="C50" s="13"/>
      <c r="D50" s="14"/>
      <c r="E50" s="14"/>
      <c r="F50" s="14"/>
      <c r="G50" s="14"/>
      <c r="H50" s="14"/>
      <c r="I50" s="14"/>
      <c r="J50" s="14"/>
      <c r="K50" s="14"/>
      <c r="L50" s="14"/>
      <c r="M50" s="14"/>
      <c r="N50" s="14"/>
      <c r="O50" s="15"/>
      <c r="P50" s="15"/>
      <c r="Q50" s="16"/>
      <c r="S50" s="9"/>
      <c r="T50" s="9"/>
      <c r="U50" s="9"/>
      <c r="V50" s="9"/>
      <c r="W50" s="10"/>
      <c r="X50" s="10"/>
      <c r="Y50" s="1" cm="1">
        <f t="array" ref="Y50">_xlfn.IFS(W50="y",1,W50="n",0,W50="wip",0.5,W50="",0.5)</f>
        <v>0.5</v>
      </c>
    </row>
    <row r="51" spans="1:25" ht="18.75" x14ac:dyDescent="0.25">
      <c r="A51" s="8">
        <v>46</v>
      </c>
      <c r="B51" s="12"/>
      <c r="C51" s="13"/>
      <c r="D51" s="14"/>
      <c r="E51" s="14"/>
      <c r="F51" s="14"/>
      <c r="G51" s="14"/>
      <c r="H51" s="14"/>
      <c r="I51" s="14"/>
      <c r="J51" s="14"/>
      <c r="K51" s="14"/>
      <c r="L51" s="14"/>
      <c r="M51" s="14"/>
      <c r="N51" s="14"/>
      <c r="O51" s="15"/>
      <c r="P51" s="15"/>
      <c r="Q51" s="16"/>
      <c r="S51" s="9"/>
      <c r="T51" s="9"/>
      <c r="U51" s="9"/>
      <c r="V51" s="9"/>
      <c r="W51" s="10"/>
      <c r="X51" s="10"/>
      <c r="Y51" s="1" cm="1">
        <f t="array" ref="Y51">_xlfn.IFS(W51="y",1,W51="n",0,W51="wip",0.5,W51="",0.5)</f>
        <v>0.5</v>
      </c>
    </row>
    <row r="52" spans="1:25" ht="18.75" x14ac:dyDescent="0.25">
      <c r="A52" s="8">
        <v>47</v>
      </c>
      <c r="B52" s="12"/>
      <c r="C52" s="13"/>
      <c r="D52" s="14"/>
      <c r="E52" s="14"/>
      <c r="F52" s="14"/>
      <c r="G52" s="14"/>
      <c r="H52" s="14"/>
      <c r="I52" s="14"/>
      <c r="J52" s="14"/>
      <c r="K52" s="14"/>
      <c r="L52" s="14"/>
      <c r="M52" s="14"/>
      <c r="N52" s="14"/>
      <c r="O52" s="15"/>
      <c r="P52" s="15"/>
      <c r="Q52" s="16"/>
      <c r="S52" s="9"/>
      <c r="T52" s="9"/>
      <c r="U52" s="9"/>
      <c r="V52" s="9"/>
      <c r="W52" s="10"/>
      <c r="X52" s="10"/>
      <c r="Y52" s="1" cm="1">
        <f t="array" ref="Y52">_xlfn.IFS(W52="y",1,W52="n",0,W52="wip",0.5,W52="",0.5)</f>
        <v>0.5</v>
      </c>
    </row>
    <row r="53" spans="1:25" ht="18.75" x14ac:dyDescent="0.25">
      <c r="A53" s="8">
        <v>48</v>
      </c>
      <c r="B53" s="12"/>
      <c r="C53" s="13"/>
      <c r="D53" s="14"/>
      <c r="E53" s="14"/>
      <c r="F53" s="14"/>
      <c r="G53" s="14"/>
      <c r="H53" s="14"/>
      <c r="I53" s="14"/>
      <c r="J53" s="14"/>
      <c r="K53" s="14"/>
      <c r="L53" s="14"/>
      <c r="M53" s="14"/>
      <c r="N53" s="14"/>
      <c r="O53" s="15"/>
      <c r="P53" s="15"/>
      <c r="Q53" s="16"/>
      <c r="S53" s="9"/>
      <c r="T53" s="9"/>
      <c r="U53" s="9"/>
      <c r="V53" s="9"/>
      <c r="W53" s="10"/>
      <c r="X53" s="10"/>
      <c r="Y53" s="1" cm="1">
        <f t="array" ref="Y53">_xlfn.IFS(W53="y",1,W53="n",0,W53="wip",0.5,W53="",0.5)</f>
        <v>0.5</v>
      </c>
    </row>
    <row r="54" spans="1:25" ht="18.75" x14ac:dyDescent="0.25">
      <c r="A54" s="8">
        <v>49</v>
      </c>
      <c r="B54" s="12"/>
      <c r="C54" s="13"/>
      <c r="D54" s="14"/>
      <c r="E54" s="14"/>
      <c r="F54" s="14"/>
      <c r="G54" s="14"/>
      <c r="H54" s="14"/>
      <c r="I54" s="14"/>
      <c r="J54" s="14"/>
      <c r="K54" s="14"/>
      <c r="L54" s="14"/>
      <c r="M54" s="14"/>
      <c r="N54" s="14"/>
      <c r="O54" s="15"/>
      <c r="P54" s="15"/>
      <c r="Q54" s="16"/>
      <c r="S54" s="9"/>
      <c r="T54" s="9"/>
      <c r="U54" s="9"/>
      <c r="V54" s="9"/>
      <c r="W54" s="10"/>
      <c r="X54" s="10"/>
      <c r="Y54" s="1" cm="1">
        <f t="array" ref="Y54">_xlfn.IFS(W54="y",1,W54="n",0,W54="wip",0.5,W54="",0.5)</f>
        <v>0.5</v>
      </c>
    </row>
    <row r="55" spans="1:25" ht="18.75" x14ac:dyDescent="0.25">
      <c r="A55" s="8">
        <v>50</v>
      </c>
      <c r="B55" s="12"/>
      <c r="C55" s="13"/>
      <c r="D55" s="14"/>
      <c r="E55" s="14"/>
      <c r="F55" s="14"/>
      <c r="G55" s="14"/>
      <c r="H55" s="14"/>
      <c r="I55" s="14"/>
      <c r="J55" s="14"/>
      <c r="K55" s="14"/>
      <c r="L55" s="14"/>
      <c r="M55" s="14"/>
      <c r="N55" s="14"/>
      <c r="O55" s="15"/>
      <c r="P55" s="15"/>
      <c r="Q55" s="16"/>
      <c r="S55" s="9"/>
      <c r="T55" s="9"/>
      <c r="U55" s="9"/>
      <c r="V55" s="9"/>
      <c r="W55" s="10"/>
      <c r="X55" s="10"/>
      <c r="Y55" s="1" cm="1">
        <f t="array" ref="Y55">_xlfn.IFS(W55="y",1,W55="n",0,W55="wip",0.5,W55="",0.5)</f>
        <v>0.5</v>
      </c>
    </row>
    <row r="56" spans="1:25" ht="18.75" x14ac:dyDescent="0.25">
      <c r="A56" s="8">
        <v>51</v>
      </c>
      <c r="B56" s="12"/>
      <c r="C56" s="13"/>
      <c r="D56" s="14"/>
      <c r="E56" s="14"/>
      <c r="F56" s="14"/>
      <c r="G56" s="14"/>
      <c r="H56" s="14"/>
      <c r="I56" s="14"/>
      <c r="J56" s="14"/>
      <c r="K56" s="14"/>
      <c r="L56" s="14"/>
      <c r="M56" s="14"/>
      <c r="N56" s="14"/>
      <c r="O56" s="15"/>
      <c r="P56" s="15"/>
      <c r="Q56" s="16"/>
      <c r="S56" s="9"/>
      <c r="T56" s="9"/>
      <c r="U56" s="9"/>
      <c r="V56" s="9"/>
      <c r="W56" s="10"/>
      <c r="X56" s="10"/>
      <c r="Y56" s="1" cm="1">
        <f t="array" ref="Y56">_xlfn.IFS(W56="y",1,W56="n",0,W56="wip",0.5,W56="",0.5)</f>
        <v>0.5</v>
      </c>
    </row>
    <row r="57" spans="1:25" ht="18.75" x14ac:dyDescent="0.25">
      <c r="A57" s="8">
        <v>52</v>
      </c>
      <c r="B57" s="12"/>
      <c r="C57" s="13"/>
      <c r="D57" s="14"/>
      <c r="E57" s="14"/>
      <c r="F57" s="14"/>
      <c r="G57" s="14"/>
      <c r="H57" s="14"/>
      <c r="I57" s="14"/>
      <c r="J57" s="14"/>
      <c r="K57" s="14"/>
      <c r="L57" s="14"/>
      <c r="M57" s="14"/>
      <c r="N57" s="14"/>
      <c r="O57" s="15"/>
      <c r="P57" s="15"/>
      <c r="Q57" s="16"/>
      <c r="S57" s="9"/>
      <c r="T57" s="9"/>
      <c r="U57" s="9"/>
      <c r="V57" s="9"/>
      <c r="W57" s="10"/>
      <c r="X57" s="10"/>
      <c r="Y57" s="1" cm="1">
        <f t="array" ref="Y57">_xlfn.IFS(W57="y",1,W57="n",0,W57="wip",0.5,W57="",0.5)</f>
        <v>0.5</v>
      </c>
    </row>
    <row r="58" spans="1:25" ht="18.75" x14ac:dyDescent="0.25">
      <c r="A58" s="8">
        <v>53</v>
      </c>
      <c r="B58" s="12"/>
      <c r="C58" s="13"/>
      <c r="D58" s="14"/>
      <c r="E58" s="14"/>
      <c r="F58" s="14"/>
      <c r="G58" s="14"/>
      <c r="H58" s="14"/>
      <c r="I58" s="14"/>
      <c r="J58" s="14"/>
      <c r="K58" s="14"/>
      <c r="L58" s="14"/>
      <c r="M58" s="14"/>
      <c r="N58" s="14"/>
      <c r="O58" s="15"/>
      <c r="P58" s="15"/>
      <c r="Q58" s="16"/>
      <c r="S58" s="9"/>
      <c r="T58" s="9"/>
      <c r="U58" s="9"/>
      <c r="V58" s="9"/>
      <c r="W58" s="10"/>
      <c r="X58" s="10"/>
      <c r="Y58" s="1" cm="1">
        <f t="array" ref="Y58">_xlfn.IFS(W58="y",1,W58="n",0,W58="wip",0.5,W58="",0.5)</f>
        <v>0.5</v>
      </c>
    </row>
    <row r="59" spans="1:25" ht="18.75" x14ac:dyDescent="0.25">
      <c r="A59" s="8">
        <v>54</v>
      </c>
      <c r="B59" s="12"/>
      <c r="C59" s="13"/>
      <c r="D59" s="14"/>
      <c r="E59" s="14"/>
      <c r="F59" s="14"/>
      <c r="G59" s="14"/>
      <c r="H59" s="14"/>
      <c r="I59" s="14"/>
      <c r="J59" s="14"/>
      <c r="K59" s="14"/>
      <c r="L59" s="14"/>
      <c r="M59" s="14"/>
      <c r="N59" s="14"/>
      <c r="O59" s="15"/>
      <c r="P59" s="15"/>
      <c r="Q59" s="16"/>
      <c r="S59" s="9"/>
      <c r="T59" s="9"/>
      <c r="U59" s="9"/>
      <c r="V59" s="9"/>
      <c r="W59" s="10"/>
      <c r="X59" s="10"/>
      <c r="Y59" s="1" cm="1">
        <f t="array" ref="Y59">_xlfn.IFS(W59="y",1,W59="n",0,W59="wip",0.5,W59="",0.5)</f>
        <v>0.5</v>
      </c>
    </row>
    <row r="60" spans="1:25" ht="18.75" x14ac:dyDescent="0.25">
      <c r="A60" s="8">
        <v>55</v>
      </c>
      <c r="B60" s="12"/>
      <c r="C60" s="13"/>
      <c r="D60" s="14"/>
      <c r="E60" s="14"/>
      <c r="F60" s="14"/>
      <c r="G60" s="14"/>
      <c r="H60" s="14"/>
      <c r="I60" s="14"/>
      <c r="J60" s="14"/>
      <c r="K60" s="14"/>
      <c r="L60" s="14"/>
      <c r="M60" s="14"/>
      <c r="N60" s="14"/>
      <c r="O60" s="15"/>
      <c r="P60" s="15"/>
      <c r="Q60" s="16"/>
      <c r="S60" s="9"/>
      <c r="T60" s="9"/>
      <c r="U60" s="9"/>
      <c r="V60" s="9"/>
      <c r="W60" s="10"/>
      <c r="X60" s="10"/>
      <c r="Y60" s="1" cm="1">
        <f t="array" ref="Y60">_xlfn.IFS(W60="y",1,W60="n",0,W60="wip",0.5,W60="",0.5)</f>
        <v>0.5</v>
      </c>
    </row>
    <row r="61" spans="1:25" ht="18.75" x14ac:dyDescent="0.25">
      <c r="A61" s="8">
        <v>56</v>
      </c>
      <c r="B61" s="12"/>
      <c r="C61" s="13"/>
      <c r="D61" s="14"/>
      <c r="E61" s="14"/>
      <c r="F61" s="14"/>
      <c r="G61" s="14"/>
      <c r="H61" s="14"/>
      <c r="I61" s="14"/>
      <c r="J61" s="14"/>
      <c r="K61" s="14"/>
      <c r="L61" s="14"/>
      <c r="M61" s="14"/>
      <c r="N61" s="14"/>
      <c r="O61" s="15"/>
      <c r="P61" s="15"/>
      <c r="Q61" s="16"/>
      <c r="S61" s="9"/>
      <c r="T61" s="9"/>
      <c r="U61" s="9"/>
      <c r="V61" s="9"/>
      <c r="W61" s="10"/>
      <c r="X61" s="10"/>
      <c r="Y61" s="1" cm="1">
        <f t="array" ref="Y61">_xlfn.IFS(W61="y",1,W61="n",0,W61="wip",0.5,W61="",0.5)</f>
        <v>0.5</v>
      </c>
    </row>
    <row r="62" spans="1:25" ht="18.75" x14ac:dyDescent="0.25">
      <c r="A62" s="8">
        <v>57</v>
      </c>
      <c r="B62" s="12"/>
      <c r="C62" s="13"/>
      <c r="D62" s="14"/>
      <c r="E62" s="14"/>
      <c r="F62" s="14"/>
      <c r="G62" s="14"/>
      <c r="H62" s="14"/>
      <c r="I62" s="14"/>
      <c r="J62" s="14"/>
      <c r="K62" s="14"/>
      <c r="L62" s="14"/>
      <c r="M62" s="14"/>
      <c r="N62" s="14"/>
      <c r="O62" s="15"/>
      <c r="P62" s="15"/>
      <c r="Q62" s="16"/>
      <c r="S62" s="9"/>
      <c r="T62" s="9"/>
      <c r="U62" s="9"/>
      <c r="V62" s="9"/>
      <c r="W62" s="10"/>
      <c r="X62" s="10"/>
      <c r="Y62" s="1" cm="1">
        <f t="array" ref="Y62">_xlfn.IFS(W62="y",1,W62="n",0,W62="wip",0.5,W62="",0.5)</f>
        <v>0.5</v>
      </c>
    </row>
    <row r="63" spans="1:25" ht="18.75" x14ac:dyDescent="0.25">
      <c r="A63" s="8">
        <v>58</v>
      </c>
      <c r="B63" s="12"/>
      <c r="C63" s="13"/>
      <c r="D63" s="14"/>
      <c r="E63" s="14"/>
      <c r="F63" s="14"/>
      <c r="G63" s="14"/>
      <c r="H63" s="14"/>
      <c r="I63" s="14"/>
      <c r="J63" s="14"/>
      <c r="K63" s="14"/>
      <c r="L63" s="14"/>
      <c r="M63" s="14"/>
      <c r="N63" s="14"/>
      <c r="O63" s="15"/>
      <c r="P63" s="15"/>
      <c r="Q63" s="16"/>
      <c r="S63" s="9"/>
      <c r="T63" s="9"/>
      <c r="U63" s="9"/>
      <c r="V63" s="9"/>
      <c r="W63" s="10"/>
      <c r="X63" s="10"/>
      <c r="Y63" s="1" cm="1">
        <f t="array" ref="Y63">_xlfn.IFS(W63="y",1,W63="n",0,W63="wip",0.5,W63="",0.5)</f>
        <v>0.5</v>
      </c>
    </row>
    <row r="64" spans="1:25" ht="18.75" x14ac:dyDescent="0.25">
      <c r="A64" s="8">
        <v>59</v>
      </c>
      <c r="B64" s="12"/>
      <c r="C64" s="13"/>
      <c r="D64" s="14"/>
      <c r="E64" s="14"/>
      <c r="F64" s="14"/>
      <c r="G64" s="14"/>
      <c r="H64" s="14"/>
      <c r="I64" s="14"/>
      <c r="J64" s="14"/>
      <c r="K64" s="14"/>
      <c r="L64" s="14"/>
      <c r="M64" s="14"/>
      <c r="N64" s="14"/>
      <c r="O64" s="15"/>
      <c r="P64" s="15"/>
      <c r="Q64" s="16"/>
      <c r="S64" s="9"/>
      <c r="T64" s="9"/>
      <c r="U64" s="9"/>
      <c r="V64" s="9"/>
      <c r="W64" s="10"/>
      <c r="X64" s="10"/>
      <c r="Y64" s="1" cm="1">
        <f t="array" ref="Y64">_xlfn.IFS(W64="y",1,W64="n",0,W64="wip",0.5,W64="",0.5)</f>
        <v>0.5</v>
      </c>
    </row>
    <row r="65" spans="1:25" ht="18.75" x14ac:dyDescent="0.25">
      <c r="A65" s="8">
        <v>60</v>
      </c>
      <c r="B65" s="12"/>
      <c r="C65" s="13"/>
      <c r="D65" s="14"/>
      <c r="E65" s="14"/>
      <c r="F65" s="14"/>
      <c r="G65" s="14"/>
      <c r="H65" s="14"/>
      <c r="I65" s="14"/>
      <c r="J65" s="14"/>
      <c r="K65" s="14"/>
      <c r="L65" s="14"/>
      <c r="M65" s="14"/>
      <c r="N65" s="14"/>
      <c r="O65" s="15"/>
      <c r="P65" s="15"/>
      <c r="Q65" s="16"/>
      <c r="S65" s="9"/>
      <c r="T65" s="9"/>
      <c r="U65" s="9"/>
      <c r="V65" s="9"/>
      <c r="W65" s="10"/>
      <c r="X65" s="10"/>
      <c r="Y65" s="1" cm="1">
        <f t="array" ref="Y65">_xlfn.IFS(W65="y",1,W65="n",0,W65="wip",0.5,W65="",0.5)</f>
        <v>0.5</v>
      </c>
    </row>
    <row r="66" spans="1:25" ht="18.75" x14ac:dyDescent="0.25">
      <c r="A66" s="8">
        <v>61</v>
      </c>
      <c r="B66" s="12"/>
      <c r="C66" s="13"/>
      <c r="D66" s="14"/>
      <c r="E66" s="14"/>
      <c r="F66" s="14"/>
      <c r="G66" s="14"/>
      <c r="H66" s="14"/>
      <c r="I66" s="14"/>
      <c r="J66" s="14"/>
      <c r="K66" s="14"/>
      <c r="L66" s="14"/>
      <c r="M66" s="14"/>
      <c r="N66" s="14"/>
      <c r="O66" s="15"/>
      <c r="P66" s="15"/>
      <c r="Q66" s="16"/>
      <c r="S66" s="9"/>
      <c r="T66" s="9"/>
      <c r="U66" s="9"/>
      <c r="V66" s="9"/>
      <c r="W66" s="10"/>
      <c r="X66" s="10"/>
      <c r="Y66" s="1" cm="1">
        <f t="array" ref="Y66">_xlfn.IFS(W66="y",1,W66="n",0,W66="wip",0.5,W66="",0.5)</f>
        <v>0.5</v>
      </c>
    </row>
    <row r="67" spans="1:25" ht="18.75" x14ac:dyDescent="0.25">
      <c r="A67" s="8">
        <v>62</v>
      </c>
      <c r="B67" s="12"/>
      <c r="C67" s="13"/>
      <c r="D67" s="14"/>
      <c r="E67" s="14"/>
      <c r="F67" s="14"/>
      <c r="G67" s="14"/>
      <c r="H67" s="14"/>
      <c r="I67" s="14"/>
      <c r="J67" s="14"/>
      <c r="K67" s="14"/>
      <c r="L67" s="14"/>
      <c r="M67" s="14"/>
      <c r="N67" s="14"/>
      <c r="O67" s="15"/>
      <c r="P67" s="15"/>
      <c r="Q67" s="16"/>
      <c r="S67" s="9"/>
      <c r="T67" s="9"/>
      <c r="U67" s="9"/>
      <c r="V67" s="9"/>
      <c r="W67" s="10"/>
      <c r="X67" s="10"/>
      <c r="Y67" s="1" cm="1">
        <f t="array" ref="Y67">_xlfn.IFS(W67="y",1,W67="n",0,W67="wip",0.5,W67="",0.5)</f>
        <v>0.5</v>
      </c>
    </row>
    <row r="68" spans="1:25" ht="18.75" x14ac:dyDescent="0.25">
      <c r="A68" s="8">
        <v>63</v>
      </c>
      <c r="B68" s="12"/>
      <c r="C68" s="13"/>
      <c r="D68" s="14"/>
      <c r="E68" s="14"/>
      <c r="F68" s="14"/>
      <c r="G68" s="14"/>
      <c r="H68" s="14"/>
      <c r="I68" s="14"/>
      <c r="J68" s="14"/>
      <c r="K68" s="14"/>
      <c r="L68" s="14"/>
      <c r="M68" s="14"/>
      <c r="N68" s="14"/>
      <c r="O68" s="15"/>
      <c r="P68" s="15"/>
      <c r="Q68" s="16"/>
      <c r="S68" s="9"/>
      <c r="T68" s="9"/>
      <c r="U68" s="9"/>
      <c r="V68" s="9"/>
      <c r="W68" s="10"/>
      <c r="X68" s="10"/>
      <c r="Y68" s="1" cm="1">
        <f t="array" ref="Y68">_xlfn.IFS(W68="y",1,W68="n",0,W68="wip",0.5,W68="",0.5)</f>
        <v>0.5</v>
      </c>
    </row>
    <row r="69" spans="1:25" ht="18.75" x14ac:dyDescent="0.25">
      <c r="A69" s="8">
        <v>64</v>
      </c>
      <c r="B69" s="12"/>
      <c r="C69" s="13"/>
      <c r="D69" s="14"/>
      <c r="E69" s="14"/>
      <c r="F69" s="14"/>
      <c r="G69" s="14"/>
      <c r="H69" s="14"/>
      <c r="I69" s="14"/>
      <c r="J69" s="14"/>
      <c r="K69" s="14"/>
      <c r="L69" s="14"/>
      <c r="M69" s="14"/>
      <c r="N69" s="14"/>
      <c r="O69" s="15"/>
      <c r="P69" s="15"/>
      <c r="Q69" s="16"/>
      <c r="S69" s="9"/>
      <c r="T69" s="9"/>
      <c r="U69" s="9"/>
      <c r="V69" s="9"/>
      <c r="W69" s="10"/>
      <c r="X69" s="10"/>
      <c r="Y69" s="1" cm="1">
        <f t="array" ref="Y69">_xlfn.IFS(W69="y",1,W69="n",0,W69="wip",0.5,W69="",0.5)</f>
        <v>0.5</v>
      </c>
    </row>
    <row r="70" spans="1:25" ht="18.75" x14ac:dyDescent="0.25">
      <c r="A70" s="8">
        <v>65</v>
      </c>
      <c r="B70" s="12"/>
      <c r="C70" s="13"/>
      <c r="D70" s="14"/>
      <c r="E70" s="14"/>
      <c r="F70" s="14"/>
      <c r="G70" s="14"/>
      <c r="H70" s="14"/>
      <c r="I70" s="14"/>
      <c r="J70" s="14"/>
      <c r="K70" s="14"/>
      <c r="L70" s="14"/>
      <c r="M70" s="14"/>
      <c r="N70" s="14"/>
      <c r="O70" s="15"/>
      <c r="P70" s="15"/>
      <c r="Q70" s="16"/>
      <c r="S70" s="9"/>
      <c r="T70" s="9"/>
      <c r="U70" s="9"/>
      <c r="V70" s="9"/>
      <c r="W70" s="10"/>
      <c r="X70" s="10"/>
      <c r="Y70" s="1" cm="1">
        <f t="array" ref="Y70">_xlfn.IFS(W70="y",1,W70="n",0,W70="wip",0.5,W70="",0.5)</f>
        <v>0.5</v>
      </c>
    </row>
    <row r="71" spans="1:25" ht="18.75" x14ac:dyDescent="0.25">
      <c r="A71" s="8">
        <v>66</v>
      </c>
      <c r="B71" s="12"/>
      <c r="C71" s="13"/>
      <c r="D71" s="14"/>
      <c r="E71" s="14"/>
      <c r="F71" s="14"/>
      <c r="G71" s="14"/>
      <c r="H71" s="14"/>
      <c r="I71" s="14"/>
      <c r="J71" s="14"/>
      <c r="K71" s="14"/>
      <c r="L71" s="14"/>
      <c r="M71" s="14"/>
      <c r="N71" s="14"/>
      <c r="O71" s="15"/>
      <c r="P71" s="15"/>
      <c r="Q71" s="16"/>
      <c r="S71" s="9"/>
      <c r="T71" s="9"/>
      <c r="U71" s="9"/>
      <c r="V71" s="9"/>
      <c r="W71" s="10"/>
      <c r="X71" s="10"/>
      <c r="Y71" s="1" cm="1">
        <f t="array" ref="Y71">_xlfn.IFS(W71="y",1,W71="n",0,W71="wip",0.5,W71="",0.5)</f>
        <v>0.5</v>
      </c>
    </row>
    <row r="72" spans="1:25" ht="18.75" x14ac:dyDescent="0.25">
      <c r="A72" s="8">
        <v>67</v>
      </c>
      <c r="B72" s="12"/>
      <c r="C72" s="13"/>
      <c r="D72" s="14"/>
      <c r="E72" s="14"/>
      <c r="F72" s="14"/>
      <c r="G72" s="14"/>
      <c r="H72" s="14"/>
      <c r="I72" s="14"/>
      <c r="J72" s="14"/>
      <c r="K72" s="14"/>
      <c r="L72" s="14"/>
      <c r="M72" s="14"/>
      <c r="N72" s="14"/>
      <c r="O72" s="15"/>
      <c r="P72" s="15"/>
      <c r="Q72" s="16"/>
      <c r="S72" s="9"/>
      <c r="T72" s="9"/>
      <c r="U72" s="9"/>
      <c r="V72" s="9"/>
      <c r="W72" s="10"/>
      <c r="X72" s="10"/>
      <c r="Y72" s="1" cm="1">
        <f t="array" ref="Y72">_xlfn.IFS(W72="y",1,W72="n",0,W72="wip",0.5,W72="",0.5)</f>
        <v>0.5</v>
      </c>
    </row>
    <row r="73" spans="1:25" ht="18.75" x14ac:dyDescent="0.25">
      <c r="A73" s="8">
        <v>68</v>
      </c>
      <c r="B73" s="12"/>
      <c r="C73" s="13"/>
      <c r="D73" s="14"/>
      <c r="E73" s="14"/>
      <c r="F73" s="14"/>
      <c r="G73" s="14"/>
      <c r="H73" s="14"/>
      <c r="I73" s="14"/>
      <c r="J73" s="14"/>
      <c r="K73" s="14"/>
      <c r="L73" s="14"/>
      <c r="M73" s="14"/>
      <c r="N73" s="14"/>
      <c r="O73" s="15"/>
      <c r="P73" s="15"/>
      <c r="Q73" s="16"/>
      <c r="S73" s="9"/>
      <c r="T73" s="9"/>
      <c r="U73" s="9"/>
      <c r="V73" s="9"/>
      <c r="W73" s="10"/>
      <c r="X73" s="10"/>
      <c r="Y73" s="1" cm="1">
        <f t="array" ref="Y73">_xlfn.IFS(W73="y",1,W73="n",0,W73="wip",0.5,W73="",0.5)</f>
        <v>0.5</v>
      </c>
    </row>
    <row r="74" spans="1:25" ht="18.75" x14ac:dyDescent="0.25">
      <c r="A74" s="8">
        <v>69</v>
      </c>
      <c r="B74" s="12"/>
      <c r="C74" s="13"/>
      <c r="D74" s="14"/>
      <c r="E74" s="14"/>
      <c r="F74" s="14"/>
      <c r="G74" s="14"/>
      <c r="H74" s="14"/>
      <c r="I74" s="14"/>
      <c r="J74" s="14"/>
      <c r="K74" s="14"/>
      <c r="L74" s="14"/>
      <c r="M74" s="14"/>
      <c r="N74" s="14"/>
      <c r="O74" s="15"/>
      <c r="P74" s="15"/>
      <c r="Q74" s="16"/>
      <c r="S74" s="9"/>
      <c r="T74" s="9"/>
      <c r="U74" s="9"/>
      <c r="V74" s="9"/>
      <c r="W74" s="10"/>
      <c r="X74" s="10"/>
      <c r="Y74" s="1" cm="1">
        <f t="array" ref="Y74">_xlfn.IFS(W74="y",1,W74="n",0,W74="wip",0.5,W74="",0.5)</f>
        <v>0.5</v>
      </c>
    </row>
    <row r="75" spans="1:25" ht="18.75" x14ac:dyDescent="0.25">
      <c r="A75" s="8">
        <v>70</v>
      </c>
      <c r="B75" s="12"/>
      <c r="C75" s="13"/>
      <c r="D75" s="14"/>
      <c r="E75" s="14"/>
      <c r="F75" s="14"/>
      <c r="G75" s="14"/>
      <c r="H75" s="14"/>
      <c r="I75" s="14"/>
      <c r="J75" s="14"/>
      <c r="K75" s="14"/>
      <c r="L75" s="14"/>
      <c r="M75" s="14"/>
      <c r="N75" s="14"/>
      <c r="O75" s="15"/>
      <c r="P75" s="15"/>
      <c r="Q75" s="16"/>
      <c r="S75" s="9"/>
      <c r="T75" s="9"/>
      <c r="U75" s="9"/>
      <c r="V75" s="9"/>
      <c r="W75" s="10"/>
      <c r="X75" s="10"/>
      <c r="Y75" s="1" cm="1">
        <f t="array" ref="Y75">_xlfn.IFS(W75="y",1,W75="n",0,W75="wip",0.5,W75="",0.5)</f>
        <v>0.5</v>
      </c>
    </row>
    <row r="76" spans="1:25" ht="18.75" x14ac:dyDescent="0.25">
      <c r="A76" s="8">
        <v>71</v>
      </c>
      <c r="B76" s="12"/>
      <c r="C76" s="13"/>
      <c r="D76" s="14"/>
      <c r="E76" s="14"/>
      <c r="F76" s="14"/>
      <c r="G76" s="14"/>
      <c r="H76" s="14"/>
      <c r="I76" s="14"/>
      <c r="J76" s="14"/>
      <c r="K76" s="14"/>
      <c r="L76" s="14"/>
      <c r="M76" s="14"/>
      <c r="N76" s="14"/>
      <c r="O76" s="15"/>
      <c r="P76" s="15"/>
      <c r="Q76" s="16"/>
      <c r="S76" s="9"/>
      <c r="T76" s="9"/>
      <c r="U76" s="9"/>
      <c r="V76" s="9"/>
      <c r="W76" s="10"/>
      <c r="X76" s="10"/>
      <c r="Y76" s="1" cm="1">
        <f t="array" ref="Y76">_xlfn.IFS(W76="y",1,W76="n",0,W76="wip",0.5,W76="",0.5)</f>
        <v>0.5</v>
      </c>
    </row>
    <row r="77" spans="1:25" ht="18.75" x14ac:dyDescent="0.25">
      <c r="A77" s="8">
        <v>72</v>
      </c>
      <c r="B77" s="12"/>
      <c r="C77" s="13"/>
      <c r="D77" s="14"/>
      <c r="E77" s="14"/>
      <c r="F77" s="14"/>
      <c r="G77" s="14"/>
      <c r="H77" s="14"/>
      <c r="I77" s="14"/>
      <c r="J77" s="14"/>
      <c r="K77" s="14"/>
      <c r="L77" s="14"/>
      <c r="M77" s="14"/>
      <c r="N77" s="14"/>
      <c r="O77" s="15"/>
      <c r="P77" s="15"/>
      <c r="Q77" s="16"/>
      <c r="S77" s="9"/>
      <c r="T77" s="9"/>
      <c r="U77" s="9"/>
      <c r="V77" s="9"/>
      <c r="W77" s="10"/>
      <c r="X77" s="10"/>
      <c r="Y77" s="1" cm="1">
        <f t="array" ref="Y77">_xlfn.IFS(W77="y",1,W77="n",0,W77="wip",0.5,W77="",0.5)</f>
        <v>0.5</v>
      </c>
    </row>
    <row r="78" spans="1:25" ht="18.75" x14ac:dyDescent="0.25">
      <c r="A78" s="8">
        <v>73</v>
      </c>
      <c r="B78" s="12"/>
      <c r="C78" s="13"/>
      <c r="D78" s="14"/>
      <c r="E78" s="14"/>
      <c r="F78" s="14"/>
      <c r="G78" s="14"/>
      <c r="H78" s="14"/>
      <c r="I78" s="14"/>
      <c r="J78" s="14"/>
      <c r="K78" s="14"/>
      <c r="L78" s="14"/>
      <c r="M78" s="14"/>
      <c r="N78" s="14"/>
      <c r="O78" s="15"/>
      <c r="P78" s="15"/>
      <c r="Q78" s="16"/>
      <c r="S78" s="9"/>
      <c r="T78" s="9"/>
      <c r="U78" s="9"/>
      <c r="V78" s="9"/>
      <c r="W78" s="10"/>
      <c r="X78" s="10"/>
      <c r="Y78" s="1" cm="1">
        <f t="array" ref="Y78">_xlfn.IFS(W78="y",1,W78="n",0,W78="wip",0.5,W78="",0.5)</f>
        <v>0.5</v>
      </c>
    </row>
    <row r="79" spans="1:25" ht="18.75" x14ac:dyDescent="0.25">
      <c r="A79" s="8">
        <v>74</v>
      </c>
      <c r="B79" s="12"/>
      <c r="C79" s="13"/>
      <c r="D79" s="14"/>
      <c r="E79" s="14"/>
      <c r="F79" s="14"/>
      <c r="G79" s="14"/>
      <c r="H79" s="14"/>
      <c r="I79" s="14"/>
      <c r="J79" s="14"/>
      <c r="K79" s="14"/>
      <c r="L79" s="14"/>
      <c r="M79" s="14"/>
      <c r="N79" s="14"/>
      <c r="O79" s="15"/>
      <c r="P79" s="15"/>
      <c r="Q79" s="16"/>
      <c r="S79" s="9"/>
      <c r="T79" s="9"/>
      <c r="U79" s="9"/>
      <c r="V79" s="9"/>
      <c r="W79" s="10"/>
      <c r="X79" s="10"/>
      <c r="Y79" s="1" cm="1">
        <f t="array" ref="Y79">_xlfn.IFS(W79="y",1,W79="n",0,W79="wip",0.5,W79="",0.5)</f>
        <v>0.5</v>
      </c>
    </row>
    <row r="80" spans="1:25" ht="18.75" x14ac:dyDescent="0.25">
      <c r="A80" s="8">
        <v>75</v>
      </c>
      <c r="B80" s="12"/>
      <c r="C80" s="13"/>
      <c r="D80" s="14"/>
      <c r="E80" s="14"/>
      <c r="F80" s="14"/>
      <c r="G80" s="14"/>
      <c r="H80" s="14"/>
      <c r="I80" s="14"/>
      <c r="J80" s="14"/>
      <c r="K80" s="14"/>
      <c r="L80" s="14"/>
      <c r="M80" s="14"/>
      <c r="N80" s="14"/>
      <c r="O80" s="15"/>
      <c r="P80" s="15"/>
      <c r="Q80" s="16"/>
      <c r="S80" s="9"/>
      <c r="T80" s="9"/>
      <c r="U80" s="9"/>
      <c r="V80" s="9"/>
      <c r="W80" s="10"/>
      <c r="X80" s="10"/>
      <c r="Y80" s="1" cm="1">
        <f t="array" ref="Y80">_xlfn.IFS(W80="y",1,W80="n",0,W80="wip",0.5,W80="",0.5)</f>
        <v>0.5</v>
      </c>
    </row>
    <row r="81" spans="1:25" ht="18.75" x14ac:dyDescent="0.25">
      <c r="A81" s="8">
        <v>76</v>
      </c>
      <c r="B81" s="12"/>
      <c r="C81" s="13"/>
      <c r="D81" s="14"/>
      <c r="E81" s="14"/>
      <c r="F81" s="14"/>
      <c r="G81" s="14"/>
      <c r="H81" s="14"/>
      <c r="I81" s="14"/>
      <c r="J81" s="14"/>
      <c r="K81" s="14"/>
      <c r="L81" s="14"/>
      <c r="M81" s="14"/>
      <c r="N81" s="14"/>
      <c r="O81" s="15"/>
      <c r="P81" s="15"/>
      <c r="Q81" s="16"/>
      <c r="S81" s="9"/>
      <c r="T81" s="9"/>
      <c r="U81" s="9"/>
      <c r="V81" s="9"/>
      <c r="W81" s="10"/>
      <c r="X81" s="10"/>
      <c r="Y81" s="1" cm="1">
        <f t="array" ref="Y81">_xlfn.IFS(W81="y",1,W81="n",0,W81="wip",0.5,W81="",0.5)</f>
        <v>0.5</v>
      </c>
    </row>
    <row r="82" spans="1:25" ht="18.75" x14ac:dyDescent="0.25">
      <c r="A82" s="8">
        <v>77</v>
      </c>
      <c r="B82" s="12"/>
      <c r="C82" s="13"/>
      <c r="D82" s="14"/>
      <c r="E82" s="14"/>
      <c r="F82" s="14"/>
      <c r="G82" s="14"/>
      <c r="H82" s="14"/>
      <c r="I82" s="14"/>
      <c r="J82" s="14"/>
      <c r="K82" s="14"/>
      <c r="L82" s="14"/>
      <c r="M82" s="14"/>
      <c r="N82" s="14"/>
      <c r="O82" s="15"/>
      <c r="P82" s="15"/>
      <c r="Q82" s="16"/>
      <c r="S82" s="9"/>
      <c r="T82" s="9"/>
      <c r="U82" s="9"/>
      <c r="V82" s="9"/>
      <c r="W82" s="10"/>
      <c r="X82" s="10"/>
      <c r="Y82" s="1" cm="1">
        <f t="array" ref="Y82">_xlfn.IFS(W82="y",1,W82="n",0,W82="wip",0.5,W82="",0.5)</f>
        <v>0.5</v>
      </c>
    </row>
    <row r="83" spans="1:25" ht="18.75" x14ac:dyDescent="0.25">
      <c r="A83" s="8">
        <v>78</v>
      </c>
      <c r="B83" s="12"/>
      <c r="C83" s="13"/>
      <c r="D83" s="14"/>
      <c r="E83" s="14"/>
      <c r="F83" s="14"/>
      <c r="G83" s="14"/>
      <c r="H83" s="14"/>
      <c r="I83" s="14"/>
      <c r="J83" s="14"/>
      <c r="K83" s="14"/>
      <c r="L83" s="14"/>
      <c r="M83" s="14"/>
      <c r="N83" s="14"/>
      <c r="O83" s="15"/>
      <c r="P83" s="15"/>
      <c r="Q83" s="16"/>
      <c r="S83" s="9"/>
      <c r="T83" s="9"/>
      <c r="U83" s="9"/>
      <c r="V83" s="9"/>
      <c r="W83" s="10"/>
      <c r="X83" s="10"/>
      <c r="Y83" s="1" cm="1">
        <f t="array" ref="Y83">_xlfn.IFS(W83="y",1,W83="n",0,W83="wip",0.5,W83="",0.5)</f>
        <v>0.5</v>
      </c>
    </row>
    <row r="84" spans="1:25" ht="18.75" x14ac:dyDescent="0.25">
      <c r="A84" s="8">
        <v>79</v>
      </c>
      <c r="B84" s="12"/>
      <c r="C84" s="13"/>
      <c r="D84" s="14"/>
      <c r="E84" s="14"/>
      <c r="F84" s="14"/>
      <c r="G84" s="14"/>
      <c r="H84" s="14"/>
      <c r="I84" s="14"/>
      <c r="J84" s="14"/>
      <c r="K84" s="14"/>
      <c r="L84" s="14"/>
      <c r="M84" s="14"/>
      <c r="N84" s="14"/>
      <c r="O84" s="15"/>
      <c r="P84" s="15"/>
      <c r="Q84" s="16"/>
      <c r="S84" s="9"/>
      <c r="T84" s="9"/>
      <c r="U84" s="9"/>
      <c r="V84" s="9"/>
      <c r="W84" s="10"/>
      <c r="X84" s="10"/>
      <c r="Y84" s="1" cm="1">
        <f t="array" ref="Y84">_xlfn.IFS(W84="y",1,W84="n",0,W84="wip",0.5,W84="",0.5)</f>
        <v>0.5</v>
      </c>
    </row>
    <row r="85" spans="1:25" ht="18.75" x14ac:dyDescent="0.25">
      <c r="A85" s="8">
        <v>80</v>
      </c>
      <c r="B85" s="12"/>
      <c r="C85" s="13"/>
      <c r="D85" s="14"/>
      <c r="E85" s="14"/>
      <c r="F85" s="14"/>
      <c r="G85" s="14"/>
      <c r="H85" s="14"/>
      <c r="I85" s="14"/>
      <c r="J85" s="14"/>
      <c r="K85" s="14"/>
      <c r="L85" s="14"/>
      <c r="M85" s="14"/>
      <c r="N85" s="14"/>
      <c r="O85" s="15"/>
      <c r="P85" s="15"/>
      <c r="Q85" s="16"/>
      <c r="S85" s="9"/>
      <c r="T85" s="9"/>
      <c r="U85" s="9"/>
      <c r="V85" s="9"/>
      <c r="W85" s="10"/>
      <c r="X85" s="10"/>
      <c r="Y85" s="1" cm="1">
        <f t="array" ref="Y85">_xlfn.IFS(W85="y",1,W85="n",0,W85="wip",0.5,W85="",0.5)</f>
        <v>0.5</v>
      </c>
    </row>
    <row r="86" spans="1:25" ht="18.75" x14ac:dyDescent="0.25">
      <c r="A86" s="8">
        <v>81</v>
      </c>
      <c r="B86" s="12"/>
      <c r="C86" s="13"/>
      <c r="D86" s="14"/>
      <c r="E86" s="14"/>
      <c r="F86" s="14"/>
      <c r="G86" s="14"/>
      <c r="H86" s="14"/>
      <c r="I86" s="14"/>
      <c r="J86" s="14"/>
      <c r="K86" s="14"/>
      <c r="L86" s="14"/>
      <c r="M86" s="14"/>
      <c r="N86" s="14"/>
      <c r="O86" s="15"/>
      <c r="P86" s="15"/>
      <c r="Q86" s="16"/>
      <c r="S86" s="9"/>
      <c r="T86" s="9"/>
      <c r="U86" s="9"/>
      <c r="V86" s="9"/>
      <c r="W86" s="10"/>
      <c r="X86" s="10"/>
      <c r="Y86" s="1" cm="1">
        <f t="array" ref="Y86">_xlfn.IFS(W86="y",1,W86="n",0,W86="wip",0.5,W86="",0.5)</f>
        <v>0.5</v>
      </c>
    </row>
    <row r="87" spans="1:25" ht="18.75" x14ac:dyDescent="0.25">
      <c r="A87" s="8">
        <v>82</v>
      </c>
      <c r="B87" s="12"/>
      <c r="C87" s="13"/>
      <c r="D87" s="14"/>
      <c r="E87" s="14"/>
      <c r="F87" s="14"/>
      <c r="G87" s="14"/>
      <c r="H87" s="14"/>
      <c r="I87" s="14"/>
      <c r="J87" s="14"/>
      <c r="K87" s="14"/>
      <c r="L87" s="14"/>
      <c r="M87" s="14"/>
      <c r="N87" s="14"/>
      <c r="O87" s="15"/>
      <c r="P87" s="15"/>
      <c r="Q87" s="16"/>
      <c r="S87" s="9"/>
      <c r="T87" s="9"/>
      <c r="U87" s="9"/>
      <c r="V87" s="9"/>
      <c r="W87" s="10"/>
      <c r="X87" s="10"/>
      <c r="Y87" s="1" cm="1">
        <f t="array" ref="Y87">_xlfn.IFS(W87="y",1,W87="n",0,W87="wip",0.5,W87="",0.5)</f>
        <v>0.5</v>
      </c>
    </row>
    <row r="88" spans="1:25" ht="18.75" x14ac:dyDescent="0.25">
      <c r="A88" s="8">
        <v>83</v>
      </c>
      <c r="B88" s="12"/>
      <c r="C88" s="13"/>
      <c r="D88" s="14"/>
      <c r="E88" s="14"/>
      <c r="F88" s="14"/>
      <c r="G88" s="14"/>
      <c r="H88" s="14"/>
      <c r="I88" s="14"/>
      <c r="J88" s="14"/>
      <c r="K88" s="14"/>
      <c r="L88" s="14"/>
      <c r="M88" s="14"/>
      <c r="N88" s="14"/>
      <c r="O88" s="15"/>
      <c r="P88" s="15"/>
      <c r="Q88" s="16"/>
      <c r="S88" s="9"/>
      <c r="T88" s="9"/>
      <c r="U88" s="9"/>
      <c r="V88" s="9"/>
      <c r="W88" s="10"/>
      <c r="X88" s="10"/>
      <c r="Y88" s="1" cm="1">
        <f t="array" ref="Y88">_xlfn.IFS(W88="y",1,W88="n",0,W88="wip",0.5,W88="",0.5)</f>
        <v>0.5</v>
      </c>
    </row>
    <row r="89" spans="1:25" ht="18.75" x14ac:dyDescent="0.25">
      <c r="A89" s="8">
        <v>84</v>
      </c>
      <c r="B89" s="12"/>
      <c r="C89" s="13"/>
      <c r="D89" s="14"/>
      <c r="E89" s="14"/>
      <c r="F89" s="14"/>
      <c r="G89" s="14"/>
      <c r="H89" s="14"/>
      <c r="I89" s="14"/>
      <c r="J89" s="14"/>
      <c r="K89" s="14"/>
      <c r="L89" s="14"/>
      <c r="M89" s="14"/>
      <c r="N89" s="14"/>
      <c r="O89" s="15"/>
      <c r="P89" s="15"/>
      <c r="Q89" s="16"/>
      <c r="S89" s="9"/>
      <c r="T89" s="9"/>
      <c r="U89" s="9"/>
      <c r="V89" s="9"/>
      <c r="W89" s="10"/>
      <c r="X89" s="10"/>
      <c r="Y89" s="1" cm="1">
        <f t="array" ref="Y89">_xlfn.IFS(W89="y",1,W89="n",0,W89="wip",0.5,W89="",0.5)</f>
        <v>0.5</v>
      </c>
    </row>
    <row r="90" spans="1:25" ht="18.75" x14ac:dyDescent="0.25">
      <c r="A90" s="8">
        <v>85</v>
      </c>
      <c r="B90" s="12"/>
      <c r="C90" s="13"/>
      <c r="D90" s="14"/>
      <c r="E90" s="14"/>
      <c r="F90" s="14"/>
      <c r="G90" s="14"/>
      <c r="H90" s="14"/>
      <c r="I90" s="14"/>
      <c r="J90" s="14"/>
      <c r="K90" s="14"/>
      <c r="L90" s="14"/>
      <c r="M90" s="14"/>
      <c r="N90" s="14"/>
      <c r="O90" s="15"/>
      <c r="P90" s="15"/>
      <c r="Q90" s="16"/>
      <c r="S90" s="9"/>
      <c r="T90" s="9"/>
      <c r="U90" s="9"/>
      <c r="V90" s="9"/>
      <c r="W90" s="10"/>
      <c r="X90" s="10"/>
      <c r="Y90" s="1" cm="1">
        <f t="array" ref="Y90">_xlfn.IFS(W90="y",1,W90="n",0,W90="wip",0.5,W90="",0.5)</f>
        <v>0.5</v>
      </c>
    </row>
    <row r="91" spans="1:25" ht="18.75" x14ac:dyDescent="0.25">
      <c r="A91" s="8">
        <v>86</v>
      </c>
      <c r="B91" s="12"/>
      <c r="C91" s="13"/>
      <c r="D91" s="14"/>
      <c r="E91" s="14"/>
      <c r="F91" s="14"/>
      <c r="G91" s="14"/>
      <c r="H91" s="14"/>
      <c r="I91" s="14"/>
      <c r="J91" s="14"/>
      <c r="K91" s="14"/>
      <c r="L91" s="14"/>
      <c r="M91" s="14"/>
      <c r="N91" s="14"/>
      <c r="O91" s="15"/>
      <c r="P91" s="15"/>
      <c r="Q91" s="16"/>
      <c r="S91" s="9"/>
      <c r="T91" s="9"/>
      <c r="U91" s="9"/>
      <c r="V91" s="9"/>
      <c r="W91" s="10"/>
      <c r="X91" s="10"/>
      <c r="Y91" s="1" cm="1">
        <f t="array" ref="Y91">_xlfn.IFS(W91="y",1,W91="n",0,W91="wip",0.5,W91="",0.5)</f>
        <v>0.5</v>
      </c>
    </row>
    <row r="92" spans="1:25" ht="18.75" x14ac:dyDescent="0.25">
      <c r="A92" s="8">
        <v>87</v>
      </c>
      <c r="B92" s="12"/>
      <c r="C92" s="13"/>
      <c r="D92" s="14"/>
      <c r="E92" s="14"/>
      <c r="F92" s="14"/>
      <c r="G92" s="14"/>
      <c r="H92" s="14"/>
      <c r="I92" s="14"/>
      <c r="J92" s="14"/>
      <c r="K92" s="14"/>
      <c r="L92" s="14"/>
      <c r="M92" s="14"/>
      <c r="N92" s="14"/>
      <c r="O92" s="15"/>
      <c r="P92" s="15"/>
      <c r="Q92" s="16"/>
      <c r="S92" s="9"/>
      <c r="T92" s="9"/>
      <c r="U92" s="9"/>
      <c r="V92" s="9"/>
      <c r="W92" s="10"/>
      <c r="X92" s="10"/>
      <c r="Y92" s="1" cm="1">
        <f t="array" ref="Y92">_xlfn.IFS(W92="y",1,W92="n",0,W92="wip",0.5,W92="",0.5)</f>
        <v>0.5</v>
      </c>
    </row>
    <row r="93" spans="1:25" ht="18.75" x14ac:dyDescent="0.25">
      <c r="A93" s="8">
        <v>88</v>
      </c>
      <c r="B93" s="12"/>
      <c r="C93" s="13"/>
      <c r="D93" s="14"/>
      <c r="E93" s="14"/>
      <c r="F93" s="14"/>
      <c r="G93" s="14"/>
      <c r="H93" s="14"/>
      <c r="I93" s="14"/>
      <c r="J93" s="14"/>
      <c r="K93" s="14"/>
      <c r="L93" s="14"/>
      <c r="M93" s="14"/>
      <c r="N93" s="14"/>
      <c r="O93" s="15"/>
      <c r="P93" s="15"/>
      <c r="Q93" s="16"/>
      <c r="S93" s="9"/>
      <c r="T93" s="9"/>
      <c r="U93" s="9"/>
      <c r="V93" s="9"/>
      <c r="W93" s="10"/>
      <c r="X93" s="10"/>
      <c r="Y93" s="1" cm="1">
        <f t="array" ref="Y93">_xlfn.IFS(W93="y",1,W93="n",0,W93="wip",0.5,W93="",0.5)</f>
        <v>0.5</v>
      </c>
    </row>
    <row r="94" spans="1:25" ht="18.75" x14ac:dyDescent="0.25">
      <c r="A94" s="8">
        <v>89</v>
      </c>
      <c r="B94" s="12"/>
      <c r="C94" s="13"/>
      <c r="D94" s="14"/>
      <c r="E94" s="14"/>
      <c r="F94" s="14"/>
      <c r="G94" s="14"/>
      <c r="H94" s="14"/>
      <c r="I94" s="14"/>
      <c r="J94" s="14"/>
      <c r="K94" s="14"/>
      <c r="L94" s="14"/>
      <c r="M94" s="14"/>
      <c r="N94" s="14"/>
      <c r="O94" s="15"/>
      <c r="P94" s="15"/>
      <c r="Q94" s="16"/>
      <c r="S94" s="9"/>
      <c r="T94" s="9"/>
      <c r="U94" s="9"/>
      <c r="V94" s="9"/>
      <c r="W94" s="10"/>
      <c r="X94" s="10"/>
      <c r="Y94" s="1" cm="1">
        <f t="array" ref="Y94">_xlfn.IFS(W94="y",1,W94="n",0,W94="wip",0.5,W94="",0.5)</f>
        <v>0.5</v>
      </c>
    </row>
    <row r="95" spans="1:25" ht="18.75" x14ac:dyDescent="0.25">
      <c r="A95" s="8">
        <v>90</v>
      </c>
      <c r="B95" s="12"/>
      <c r="C95" s="13"/>
      <c r="D95" s="14"/>
      <c r="E95" s="14"/>
      <c r="F95" s="14"/>
      <c r="G95" s="14"/>
      <c r="H95" s="14"/>
      <c r="I95" s="14"/>
      <c r="J95" s="14"/>
      <c r="K95" s="14"/>
      <c r="L95" s="14"/>
      <c r="M95" s="14"/>
      <c r="N95" s="14"/>
      <c r="O95" s="15"/>
      <c r="P95" s="15"/>
      <c r="Q95" s="16"/>
      <c r="S95" s="9"/>
      <c r="T95" s="9"/>
      <c r="U95" s="9"/>
      <c r="V95" s="9"/>
      <c r="W95" s="10"/>
      <c r="X95" s="10"/>
      <c r="Y95" s="1" cm="1">
        <f t="array" ref="Y95">_xlfn.IFS(W95="y",1,W95="n",0,W95="wip",0.5,W95="",0.5)</f>
        <v>0.5</v>
      </c>
    </row>
    <row r="96" spans="1:25" ht="18.75" x14ac:dyDescent="0.25">
      <c r="A96" s="8">
        <v>91</v>
      </c>
      <c r="B96" s="12"/>
      <c r="C96" s="13"/>
      <c r="D96" s="14"/>
      <c r="E96" s="14"/>
      <c r="F96" s="14"/>
      <c r="G96" s="14"/>
      <c r="H96" s="14"/>
      <c r="I96" s="14"/>
      <c r="J96" s="14"/>
      <c r="K96" s="14"/>
      <c r="L96" s="14"/>
      <c r="M96" s="14"/>
      <c r="N96" s="14"/>
      <c r="O96" s="15"/>
      <c r="P96" s="15"/>
      <c r="Q96" s="16"/>
      <c r="S96" s="9"/>
      <c r="T96" s="9"/>
      <c r="U96" s="9"/>
      <c r="V96" s="9"/>
      <c r="W96" s="10"/>
      <c r="X96" s="10"/>
      <c r="Y96" s="1" cm="1">
        <f t="array" ref="Y96">_xlfn.IFS(W96="y",1,W96="n",0,W96="wip",0.5,W96="",0.5)</f>
        <v>0.5</v>
      </c>
    </row>
    <row r="97" spans="1:25" ht="18.75" x14ac:dyDescent="0.25">
      <c r="A97" s="8">
        <v>92</v>
      </c>
      <c r="B97" s="12"/>
      <c r="C97" s="13"/>
      <c r="D97" s="14"/>
      <c r="E97" s="14"/>
      <c r="F97" s="14"/>
      <c r="G97" s="14"/>
      <c r="H97" s="14"/>
      <c r="I97" s="14"/>
      <c r="J97" s="14"/>
      <c r="K97" s="14"/>
      <c r="L97" s="14"/>
      <c r="M97" s="14"/>
      <c r="N97" s="14"/>
      <c r="O97" s="15"/>
      <c r="P97" s="15"/>
      <c r="Q97" s="16"/>
      <c r="S97" s="9"/>
      <c r="T97" s="9"/>
      <c r="U97" s="9"/>
      <c r="V97" s="9"/>
      <c r="W97" s="10"/>
      <c r="X97" s="10"/>
      <c r="Y97" s="1" cm="1">
        <f t="array" ref="Y97">_xlfn.IFS(W97="y",1,W97="n",0,W97="wip",0.5,W97="",0.5)</f>
        <v>0.5</v>
      </c>
    </row>
    <row r="98" spans="1:25" ht="18.75" x14ac:dyDescent="0.25">
      <c r="A98" s="8">
        <v>93</v>
      </c>
      <c r="B98" s="12"/>
      <c r="C98" s="13"/>
      <c r="D98" s="14"/>
      <c r="E98" s="14"/>
      <c r="F98" s="14"/>
      <c r="G98" s="14"/>
      <c r="H98" s="14"/>
      <c r="I98" s="14"/>
      <c r="J98" s="14"/>
      <c r="K98" s="14"/>
      <c r="L98" s="14"/>
      <c r="M98" s="14"/>
      <c r="N98" s="14"/>
      <c r="O98" s="15"/>
      <c r="P98" s="15"/>
      <c r="Q98" s="16"/>
      <c r="S98" s="9"/>
      <c r="T98" s="9"/>
      <c r="U98" s="9"/>
      <c r="V98" s="9"/>
      <c r="W98" s="10"/>
      <c r="X98" s="10"/>
      <c r="Y98" s="1" cm="1">
        <f t="array" ref="Y98">_xlfn.IFS(W98="y",1,W98="n",0,W98="wip",0.5,W98="",0.5)</f>
        <v>0.5</v>
      </c>
    </row>
    <row r="99" spans="1:25" ht="18.75" x14ac:dyDescent="0.25">
      <c r="A99" s="8">
        <v>94</v>
      </c>
      <c r="B99" s="12"/>
      <c r="C99" s="13"/>
      <c r="D99" s="14"/>
      <c r="E99" s="14"/>
      <c r="F99" s="14"/>
      <c r="G99" s="14"/>
      <c r="H99" s="14"/>
      <c r="I99" s="14"/>
      <c r="J99" s="14"/>
      <c r="K99" s="14"/>
      <c r="L99" s="14"/>
      <c r="M99" s="14"/>
      <c r="N99" s="14"/>
      <c r="O99" s="15"/>
      <c r="P99" s="15"/>
      <c r="Q99" s="16"/>
      <c r="S99" s="9"/>
      <c r="T99" s="9"/>
      <c r="U99" s="9"/>
      <c r="V99" s="9"/>
      <c r="W99" s="10"/>
      <c r="X99" s="10"/>
      <c r="Y99" s="1" cm="1">
        <f t="array" ref="Y99">_xlfn.IFS(W99="y",1,W99="n",0,W99="wip",0.5,W99="",0.5)</f>
        <v>0.5</v>
      </c>
    </row>
    <row r="100" spans="1:25" ht="18.75" x14ac:dyDescent="0.25">
      <c r="A100" s="8">
        <v>95</v>
      </c>
      <c r="B100" s="12"/>
      <c r="C100" s="13"/>
      <c r="D100" s="14"/>
      <c r="E100" s="14"/>
      <c r="F100" s="14"/>
      <c r="G100" s="14"/>
      <c r="H100" s="14"/>
      <c r="I100" s="14"/>
      <c r="J100" s="14"/>
      <c r="K100" s="14"/>
      <c r="L100" s="14"/>
      <c r="M100" s="14"/>
      <c r="N100" s="14"/>
      <c r="O100" s="15"/>
      <c r="P100" s="15"/>
      <c r="Q100" s="16"/>
      <c r="S100" s="9"/>
      <c r="T100" s="9"/>
      <c r="U100" s="9"/>
      <c r="V100" s="9"/>
      <c r="W100" s="10"/>
      <c r="X100" s="10"/>
      <c r="Y100" s="1" cm="1">
        <f t="array" ref="Y100">_xlfn.IFS(W100="y",1,W100="n",0,W100="wip",0.5,W100="",0.5)</f>
        <v>0.5</v>
      </c>
    </row>
    <row r="101" spans="1:25" ht="18.75" x14ac:dyDescent="0.25">
      <c r="A101" s="8">
        <v>96</v>
      </c>
      <c r="B101" s="12"/>
      <c r="C101" s="13"/>
      <c r="D101" s="14"/>
      <c r="E101" s="14"/>
      <c r="F101" s="14"/>
      <c r="G101" s="14"/>
      <c r="H101" s="14"/>
      <c r="I101" s="14"/>
      <c r="J101" s="14"/>
      <c r="K101" s="14"/>
      <c r="L101" s="14"/>
      <c r="M101" s="14"/>
      <c r="N101" s="14"/>
      <c r="O101" s="15"/>
      <c r="P101" s="15"/>
      <c r="Q101" s="16"/>
      <c r="S101" s="9"/>
      <c r="T101" s="9"/>
      <c r="U101" s="9"/>
      <c r="V101" s="9"/>
      <c r="W101" s="10"/>
      <c r="X101" s="10"/>
      <c r="Y101" s="1" cm="1">
        <f t="array" ref="Y101">_xlfn.IFS(W101="y",1,W101="n",0,W101="wip",0.5,W101="",0.5)</f>
        <v>0.5</v>
      </c>
    </row>
    <row r="102" spans="1:25" ht="18.75" x14ac:dyDescent="0.25">
      <c r="A102" s="8">
        <v>97</v>
      </c>
      <c r="B102" s="12"/>
      <c r="C102" s="13"/>
      <c r="D102" s="14"/>
      <c r="E102" s="14"/>
      <c r="F102" s="14"/>
      <c r="G102" s="14"/>
      <c r="H102" s="14"/>
      <c r="I102" s="14"/>
      <c r="J102" s="14"/>
      <c r="K102" s="14"/>
      <c r="L102" s="14"/>
      <c r="M102" s="14"/>
      <c r="N102" s="14"/>
      <c r="O102" s="15"/>
      <c r="P102" s="15"/>
      <c r="Q102" s="16"/>
      <c r="S102" s="9"/>
      <c r="T102" s="9"/>
      <c r="U102" s="9"/>
      <c r="V102" s="9"/>
      <c r="W102" s="10"/>
      <c r="X102" s="10"/>
      <c r="Y102" s="1" cm="1">
        <f t="array" ref="Y102">_xlfn.IFS(W102="y",1,W102="n",0,W102="wip",0.5,W102="",0.5)</f>
        <v>0.5</v>
      </c>
    </row>
    <row r="103" spans="1:25" ht="18.75" x14ac:dyDescent="0.25">
      <c r="A103" s="8">
        <v>98</v>
      </c>
      <c r="B103" s="12"/>
      <c r="C103" s="13"/>
      <c r="D103" s="14"/>
      <c r="E103" s="14"/>
      <c r="F103" s="14"/>
      <c r="G103" s="14"/>
      <c r="H103" s="14"/>
      <c r="I103" s="14"/>
      <c r="J103" s="14"/>
      <c r="K103" s="14"/>
      <c r="L103" s="14"/>
      <c r="M103" s="14"/>
      <c r="N103" s="14"/>
      <c r="O103" s="15"/>
      <c r="P103" s="15"/>
      <c r="Q103" s="16"/>
      <c r="S103" s="9"/>
      <c r="T103" s="9"/>
      <c r="U103" s="9"/>
      <c r="V103" s="9"/>
      <c r="W103" s="10"/>
      <c r="X103" s="10"/>
      <c r="Y103" s="1" cm="1">
        <f t="array" ref="Y103">_xlfn.IFS(W103="y",1,W103="n",0,W103="wip",0.5,W103="",0.5)</f>
        <v>0.5</v>
      </c>
    </row>
    <row r="104" spans="1:25" ht="18.75" x14ac:dyDescent="0.25">
      <c r="A104" s="8">
        <v>99</v>
      </c>
      <c r="B104" s="12"/>
      <c r="C104" s="13"/>
      <c r="D104" s="14"/>
      <c r="E104" s="14"/>
      <c r="F104" s="14"/>
      <c r="G104" s="14"/>
      <c r="H104" s="14"/>
      <c r="I104" s="14"/>
      <c r="J104" s="14"/>
      <c r="K104" s="14"/>
      <c r="L104" s="14"/>
      <c r="M104" s="14"/>
      <c r="N104" s="14"/>
      <c r="O104" s="15"/>
      <c r="P104" s="15"/>
      <c r="Q104" s="16"/>
      <c r="S104" s="9"/>
      <c r="T104" s="9"/>
      <c r="U104" s="9"/>
      <c r="V104" s="9"/>
      <c r="W104" s="10"/>
      <c r="X104" s="10"/>
      <c r="Y104" s="1" cm="1">
        <f t="array" ref="Y104">_xlfn.IFS(W104="y",1,W104="n",0,W104="wip",0.5,W104="",0.5)</f>
        <v>0.5</v>
      </c>
    </row>
    <row r="105" spans="1:25" ht="18.75" x14ac:dyDescent="0.25">
      <c r="A105" s="8">
        <v>100</v>
      </c>
      <c r="B105" s="12"/>
      <c r="C105" s="13"/>
      <c r="D105" s="14"/>
      <c r="E105" s="14"/>
      <c r="F105" s="14"/>
      <c r="G105" s="14"/>
      <c r="H105" s="14"/>
      <c r="I105" s="14"/>
      <c r="J105" s="14"/>
      <c r="K105" s="14"/>
      <c r="L105" s="14"/>
      <c r="M105" s="14"/>
      <c r="N105" s="14"/>
      <c r="O105" s="15"/>
      <c r="P105" s="15"/>
      <c r="Q105" s="16"/>
      <c r="S105" s="9"/>
      <c r="T105" s="9"/>
      <c r="U105" s="9"/>
      <c r="V105" s="9"/>
      <c r="W105" s="10"/>
      <c r="X105" s="10"/>
      <c r="Y105" s="1" cm="1">
        <f t="array" ref="Y105">_xlfn.IFS(W105="y",1,W105="n",0,W105="wip",0.5,W105="",0.5)</f>
        <v>0.5</v>
      </c>
    </row>
  </sheetData>
  <autoFilter ref="B5:Q105" xr:uid="{781E6269-D465-4628-BCC9-84129D5F5D76}">
    <filterColumn colId="0" showButton="0"/>
    <filterColumn colId="2" showButton="0"/>
    <filterColumn colId="3" showButton="0"/>
    <filterColumn colId="4" showButton="0"/>
    <filterColumn colId="5" showButton="0"/>
    <filterColumn colId="7" showButton="0"/>
    <filterColumn colId="8" showButton="0"/>
    <filterColumn colId="10" showButton="0"/>
    <filterColumn colId="11" showButton="0"/>
    <filterColumn colId="13" showButton="0"/>
    <filterColumn colId="14" showButton="0"/>
  </autoFilter>
  <mergeCells count="709">
    <mergeCell ref="B2:Q3"/>
    <mergeCell ref="B6:C6"/>
    <mergeCell ref="D6:H6"/>
    <mergeCell ref="I6:K6"/>
    <mergeCell ref="L6:N6"/>
    <mergeCell ref="O6:Q6"/>
    <mergeCell ref="B5:C5"/>
    <mergeCell ref="D5:H5"/>
    <mergeCell ref="I5:K5"/>
    <mergeCell ref="L5:N5"/>
    <mergeCell ref="O5:Q5"/>
    <mergeCell ref="B7:C7"/>
    <mergeCell ref="D7:H7"/>
    <mergeCell ref="I7:K7"/>
    <mergeCell ref="L7:N7"/>
    <mergeCell ref="O7:Q7"/>
    <mergeCell ref="B8:C8"/>
    <mergeCell ref="D8:H8"/>
    <mergeCell ref="I8:K8"/>
    <mergeCell ref="L8:N8"/>
    <mergeCell ref="O8:Q8"/>
    <mergeCell ref="B9:C9"/>
    <mergeCell ref="D9:H9"/>
    <mergeCell ref="I9:K9"/>
    <mergeCell ref="L9:N9"/>
    <mergeCell ref="O9:Q9"/>
    <mergeCell ref="B10:C10"/>
    <mergeCell ref="D10:H10"/>
    <mergeCell ref="I10:K10"/>
    <mergeCell ref="L10:N10"/>
    <mergeCell ref="O10:Q10"/>
    <mergeCell ref="B11:C11"/>
    <mergeCell ref="D11:H11"/>
    <mergeCell ref="I11:K11"/>
    <mergeCell ref="L11:N11"/>
    <mergeCell ref="O11:Q11"/>
    <mergeCell ref="B12:C12"/>
    <mergeCell ref="D12:H12"/>
    <mergeCell ref="I12:K12"/>
    <mergeCell ref="L12:N12"/>
    <mergeCell ref="O12:Q12"/>
    <mergeCell ref="B13:C13"/>
    <mergeCell ref="D13:H13"/>
    <mergeCell ref="I13:K13"/>
    <mergeCell ref="L13:N13"/>
    <mergeCell ref="O13:Q13"/>
    <mergeCell ref="B14:C14"/>
    <mergeCell ref="D14:H14"/>
    <mergeCell ref="I14:K14"/>
    <mergeCell ref="L14:N14"/>
    <mergeCell ref="O14:Q14"/>
    <mergeCell ref="B15:C15"/>
    <mergeCell ref="D15:H15"/>
    <mergeCell ref="I15:K15"/>
    <mergeCell ref="L15:N15"/>
    <mergeCell ref="O15:Q15"/>
    <mergeCell ref="B16:C16"/>
    <mergeCell ref="D16:H16"/>
    <mergeCell ref="I16:K16"/>
    <mergeCell ref="L16:N16"/>
    <mergeCell ref="O16:Q16"/>
    <mergeCell ref="B17:C17"/>
    <mergeCell ref="D17:H17"/>
    <mergeCell ref="I17:K17"/>
    <mergeCell ref="L17:N17"/>
    <mergeCell ref="O17:Q17"/>
    <mergeCell ref="B18:C18"/>
    <mergeCell ref="D18:H18"/>
    <mergeCell ref="I18:K18"/>
    <mergeCell ref="L18:N18"/>
    <mergeCell ref="O18:Q18"/>
    <mergeCell ref="B19:C19"/>
    <mergeCell ref="D19:H19"/>
    <mergeCell ref="I19:K19"/>
    <mergeCell ref="L19:N19"/>
    <mergeCell ref="O19:Q19"/>
    <mergeCell ref="B20:C20"/>
    <mergeCell ref="D20:H20"/>
    <mergeCell ref="I20:K20"/>
    <mergeCell ref="L20:N20"/>
    <mergeCell ref="O20:Q20"/>
    <mergeCell ref="B21:C21"/>
    <mergeCell ref="D21:H21"/>
    <mergeCell ref="I21:K21"/>
    <mergeCell ref="L21:N21"/>
    <mergeCell ref="O21:Q21"/>
    <mergeCell ref="B22:C22"/>
    <mergeCell ref="D22:H22"/>
    <mergeCell ref="I22:K22"/>
    <mergeCell ref="L22:N22"/>
    <mergeCell ref="O22:Q22"/>
    <mergeCell ref="B23:C23"/>
    <mergeCell ref="D23:H23"/>
    <mergeCell ref="I23:K23"/>
    <mergeCell ref="L23:N23"/>
    <mergeCell ref="O23:Q23"/>
    <mergeCell ref="B24:C24"/>
    <mergeCell ref="D24:H24"/>
    <mergeCell ref="I24:K24"/>
    <mergeCell ref="L24:N24"/>
    <mergeCell ref="O24:Q24"/>
    <mergeCell ref="B25:C25"/>
    <mergeCell ref="D25:H25"/>
    <mergeCell ref="I25:K25"/>
    <mergeCell ref="L25:N25"/>
    <mergeCell ref="O25:Q25"/>
    <mergeCell ref="B26:C26"/>
    <mergeCell ref="D26:H26"/>
    <mergeCell ref="I26:K26"/>
    <mergeCell ref="L26:N26"/>
    <mergeCell ref="O26:Q26"/>
    <mergeCell ref="B27:C27"/>
    <mergeCell ref="D27:H27"/>
    <mergeCell ref="I27:K27"/>
    <mergeCell ref="L27:N27"/>
    <mergeCell ref="O27:Q27"/>
    <mergeCell ref="B28:C28"/>
    <mergeCell ref="D28:H28"/>
    <mergeCell ref="I28:K28"/>
    <mergeCell ref="L28:N28"/>
    <mergeCell ref="O28:Q28"/>
    <mergeCell ref="B29:C29"/>
    <mergeCell ref="D29:H29"/>
    <mergeCell ref="I29:K29"/>
    <mergeCell ref="L29:N29"/>
    <mergeCell ref="O29:Q29"/>
    <mergeCell ref="B30:C30"/>
    <mergeCell ref="D30:H30"/>
    <mergeCell ref="I30:K30"/>
    <mergeCell ref="L30:N30"/>
    <mergeCell ref="O30:Q30"/>
    <mergeCell ref="B31:C31"/>
    <mergeCell ref="D31:H31"/>
    <mergeCell ref="I31:K31"/>
    <mergeCell ref="L31:N31"/>
    <mergeCell ref="O31:Q31"/>
    <mergeCell ref="B32:C32"/>
    <mergeCell ref="D32:H32"/>
    <mergeCell ref="I32:K32"/>
    <mergeCell ref="L32:N32"/>
    <mergeCell ref="O32:Q32"/>
    <mergeCell ref="B33:C33"/>
    <mergeCell ref="D33:H33"/>
    <mergeCell ref="I33:K33"/>
    <mergeCell ref="L33:N33"/>
    <mergeCell ref="O33:Q33"/>
    <mergeCell ref="B34:C34"/>
    <mergeCell ref="D34:H34"/>
    <mergeCell ref="I34:K34"/>
    <mergeCell ref="L34:N34"/>
    <mergeCell ref="O34:Q34"/>
    <mergeCell ref="B35:C35"/>
    <mergeCell ref="D35:H35"/>
    <mergeCell ref="I35:K35"/>
    <mergeCell ref="L35:N35"/>
    <mergeCell ref="O35:Q35"/>
    <mergeCell ref="B36:C36"/>
    <mergeCell ref="D36:H36"/>
    <mergeCell ref="I36:K36"/>
    <mergeCell ref="L36:N36"/>
    <mergeCell ref="O36:Q36"/>
    <mergeCell ref="B37:C37"/>
    <mergeCell ref="D37:H37"/>
    <mergeCell ref="I37:K37"/>
    <mergeCell ref="L37:N37"/>
    <mergeCell ref="O37:Q37"/>
    <mergeCell ref="B38:C38"/>
    <mergeCell ref="D38:H38"/>
    <mergeCell ref="I38:K38"/>
    <mergeCell ref="L38:N38"/>
    <mergeCell ref="O38:Q38"/>
    <mergeCell ref="B39:C39"/>
    <mergeCell ref="D39:H39"/>
    <mergeCell ref="I39:K39"/>
    <mergeCell ref="L39:N39"/>
    <mergeCell ref="O39:Q39"/>
    <mergeCell ref="B40:C40"/>
    <mergeCell ref="D40:H40"/>
    <mergeCell ref="I40:K40"/>
    <mergeCell ref="L40:N40"/>
    <mergeCell ref="O40:Q40"/>
    <mergeCell ref="B41:C41"/>
    <mergeCell ref="D41:H41"/>
    <mergeCell ref="I41:K41"/>
    <mergeCell ref="L41:N41"/>
    <mergeCell ref="O41:Q41"/>
    <mergeCell ref="B42:C42"/>
    <mergeCell ref="D42:H42"/>
    <mergeCell ref="I42:K42"/>
    <mergeCell ref="L42:N42"/>
    <mergeCell ref="O42:Q42"/>
    <mergeCell ref="B43:C43"/>
    <mergeCell ref="D43:H43"/>
    <mergeCell ref="I43:K43"/>
    <mergeCell ref="L43:N43"/>
    <mergeCell ref="O43:Q43"/>
    <mergeCell ref="B44:C44"/>
    <mergeCell ref="D44:H44"/>
    <mergeCell ref="I44:K44"/>
    <mergeCell ref="L44:N44"/>
    <mergeCell ref="O44:Q44"/>
    <mergeCell ref="B45:C45"/>
    <mergeCell ref="D45:H45"/>
    <mergeCell ref="I45:K45"/>
    <mergeCell ref="L45:N45"/>
    <mergeCell ref="O45:Q45"/>
    <mergeCell ref="B46:C46"/>
    <mergeCell ref="D46:H46"/>
    <mergeCell ref="I46:K46"/>
    <mergeCell ref="L46:N46"/>
    <mergeCell ref="O46:Q46"/>
    <mergeCell ref="B47:C47"/>
    <mergeCell ref="D47:H47"/>
    <mergeCell ref="I47:K47"/>
    <mergeCell ref="L47:N47"/>
    <mergeCell ref="O47:Q47"/>
    <mergeCell ref="B48:C48"/>
    <mergeCell ref="D48:H48"/>
    <mergeCell ref="I48:K48"/>
    <mergeCell ref="L48:N48"/>
    <mergeCell ref="O48:Q48"/>
    <mergeCell ref="B49:C49"/>
    <mergeCell ref="D49:H49"/>
    <mergeCell ref="I49:K49"/>
    <mergeCell ref="L49:N49"/>
    <mergeCell ref="O49:Q49"/>
    <mergeCell ref="B50:C50"/>
    <mergeCell ref="D50:H50"/>
    <mergeCell ref="I50:K50"/>
    <mergeCell ref="L50:N50"/>
    <mergeCell ref="O50:Q50"/>
    <mergeCell ref="B51:C51"/>
    <mergeCell ref="D51:H51"/>
    <mergeCell ref="I51:K51"/>
    <mergeCell ref="L51:N51"/>
    <mergeCell ref="O51:Q51"/>
    <mergeCell ref="B52:C52"/>
    <mergeCell ref="D52:H52"/>
    <mergeCell ref="I52:K52"/>
    <mergeCell ref="L52:N52"/>
    <mergeCell ref="O52:Q52"/>
    <mergeCell ref="B53:C53"/>
    <mergeCell ref="D53:H53"/>
    <mergeCell ref="I53:K53"/>
    <mergeCell ref="L53:N53"/>
    <mergeCell ref="O53:Q53"/>
    <mergeCell ref="B54:C54"/>
    <mergeCell ref="D54:H54"/>
    <mergeCell ref="I54:K54"/>
    <mergeCell ref="L54:N54"/>
    <mergeCell ref="O54:Q54"/>
    <mergeCell ref="B55:C55"/>
    <mergeCell ref="D55:H55"/>
    <mergeCell ref="I55:K55"/>
    <mergeCell ref="L55:N55"/>
    <mergeCell ref="O55:Q55"/>
    <mergeCell ref="B56:C56"/>
    <mergeCell ref="D56:H56"/>
    <mergeCell ref="I56:K56"/>
    <mergeCell ref="L56:N56"/>
    <mergeCell ref="O56:Q56"/>
    <mergeCell ref="B57:C57"/>
    <mergeCell ref="D57:H57"/>
    <mergeCell ref="I57:K57"/>
    <mergeCell ref="L57:N57"/>
    <mergeCell ref="O57:Q57"/>
    <mergeCell ref="B58:C58"/>
    <mergeCell ref="D58:H58"/>
    <mergeCell ref="I58:K58"/>
    <mergeCell ref="L58:N58"/>
    <mergeCell ref="O58:Q58"/>
    <mergeCell ref="B59:C59"/>
    <mergeCell ref="D59:H59"/>
    <mergeCell ref="I59:K59"/>
    <mergeCell ref="L59:N59"/>
    <mergeCell ref="O59:Q59"/>
    <mergeCell ref="B60:C60"/>
    <mergeCell ref="D60:H60"/>
    <mergeCell ref="I60:K60"/>
    <mergeCell ref="L60:N60"/>
    <mergeCell ref="O60:Q60"/>
    <mergeCell ref="B61:C61"/>
    <mergeCell ref="D61:H61"/>
    <mergeCell ref="I61:K61"/>
    <mergeCell ref="L61:N61"/>
    <mergeCell ref="O61:Q61"/>
    <mergeCell ref="B62:C62"/>
    <mergeCell ref="D62:H62"/>
    <mergeCell ref="I62:K62"/>
    <mergeCell ref="L62:N62"/>
    <mergeCell ref="O62:Q62"/>
    <mergeCell ref="B63:C63"/>
    <mergeCell ref="D63:H63"/>
    <mergeCell ref="I63:K63"/>
    <mergeCell ref="L63:N63"/>
    <mergeCell ref="O63:Q63"/>
    <mergeCell ref="B64:C64"/>
    <mergeCell ref="D64:H64"/>
    <mergeCell ref="I64:K64"/>
    <mergeCell ref="L64:N64"/>
    <mergeCell ref="O64:Q64"/>
    <mergeCell ref="B65:C65"/>
    <mergeCell ref="D65:H65"/>
    <mergeCell ref="I65:K65"/>
    <mergeCell ref="L65:N65"/>
    <mergeCell ref="O65:Q65"/>
    <mergeCell ref="B66:C66"/>
    <mergeCell ref="D66:H66"/>
    <mergeCell ref="I66:K66"/>
    <mergeCell ref="L66:N66"/>
    <mergeCell ref="O66:Q66"/>
    <mergeCell ref="B67:C67"/>
    <mergeCell ref="D67:H67"/>
    <mergeCell ref="I67:K67"/>
    <mergeCell ref="L67:N67"/>
    <mergeCell ref="O67:Q67"/>
    <mergeCell ref="B68:C68"/>
    <mergeCell ref="D68:H68"/>
    <mergeCell ref="I68:K68"/>
    <mergeCell ref="L68:N68"/>
    <mergeCell ref="O68:Q68"/>
    <mergeCell ref="B69:C69"/>
    <mergeCell ref="D69:H69"/>
    <mergeCell ref="I69:K69"/>
    <mergeCell ref="L69:N69"/>
    <mergeCell ref="O69:Q69"/>
    <mergeCell ref="B70:C70"/>
    <mergeCell ref="D70:H70"/>
    <mergeCell ref="I70:K70"/>
    <mergeCell ref="L70:N70"/>
    <mergeCell ref="O70:Q70"/>
    <mergeCell ref="B71:C71"/>
    <mergeCell ref="D71:H71"/>
    <mergeCell ref="I71:K71"/>
    <mergeCell ref="L71:N71"/>
    <mergeCell ref="O71:Q71"/>
    <mergeCell ref="B72:C72"/>
    <mergeCell ref="D72:H72"/>
    <mergeCell ref="I72:K72"/>
    <mergeCell ref="L72:N72"/>
    <mergeCell ref="O72:Q72"/>
    <mergeCell ref="B73:C73"/>
    <mergeCell ref="D73:H73"/>
    <mergeCell ref="I73:K73"/>
    <mergeCell ref="L73:N73"/>
    <mergeCell ref="O73:Q73"/>
    <mergeCell ref="B74:C74"/>
    <mergeCell ref="D74:H74"/>
    <mergeCell ref="I74:K74"/>
    <mergeCell ref="L74:N74"/>
    <mergeCell ref="O74:Q74"/>
    <mergeCell ref="B75:C75"/>
    <mergeCell ref="D75:H75"/>
    <mergeCell ref="I75:K75"/>
    <mergeCell ref="L75:N75"/>
    <mergeCell ref="O75:Q75"/>
    <mergeCell ref="B76:C76"/>
    <mergeCell ref="D76:H76"/>
    <mergeCell ref="I76:K76"/>
    <mergeCell ref="L76:N76"/>
    <mergeCell ref="O76:Q76"/>
    <mergeCell ref="B77:C77"/>
    <mergeCell ref="D77:H77"/>
    <mergeCell ref="I77:K77"/>
    <mergeCell ref="L77:N77"/>
    <mergeCell ref="O77:Q77"/>
    <mergeCell ref="B78:C78"/>
    <mergeCell ref="D78:H78"/>
    <mergeCell ref="I78:K78"/>
    <mergeCell ref="L78:N78"/>
    <mergeCell ref="O78:Q78"/>
    <mergeCell ref="B79:C79"/>
    <mergeCell ref="D79:H79"/>
    <mergeCell ref="I79:K79"/>
    <mergeCell ref="L79:N79"/>
    <mergeCell ref="O79:Q79"/>
    <mergeCell ref="B80:C80"/>
    <mergeCell ref="D80:H80"/>
    <mergeCell ref="I80:K80"/>
    <mergeCell ref="L80:N80"/>
    <mergeCell ref="O80:Q80"/>
    <mergeCell ref="B81:C81"/>
    <mergeCell ref="D81:H81"/>
    <mergeCell ref="I81:K81"/>
    <mergeCell ref="L81:N81"/>
    <mergeCell ref="O81:Q81"/>
    <mergeCell ref="B82:C82"/>
    <mergeCell ref="D82:H82"/>
    <mergeCell ref="I82:K82"/>
    <mergeCell ref="L82:N82"/>
    <mergeCell ref="O82:Q82"/>
    <mergeCell ref="B83:C83"/>
    <mergeCell ref="D83:H83"/>
    <mergeCell ref="I83:K83"/>
    <mergeCell ref="L83:N83"/>
    <mergeCell ref="O83:Q83"/>
    <mergeCell ref="B84:C84"/>
    <mergeCell ref="D84:H84"/>
    <mergeCell ref="I84:K84"/>
    <mergeCell ref="L84:N84"/>
    <mergeCell ref="O84:Q84"/>
    <mergeCell ref="B85:C85"/>
    <mergeCell ref="D85:H85"/>
    <mergeCell ref="I85:K85"/>
    <mergeCell ref="L85:N85"/>
    <mergeCell ref="O85:Q85"/>
    <mergeCell ref="B86:C86"/>
    <mergeCell ref="D86:H86"/>
    <mergeCell ref="I86:K86"/>
    <mergeCell ref="L86:N86"/>
    <mergeCell ref="O86:Q86"/>
    <mergeCell ref="B87:C87"/>
    <mergeCell ref="D87:H87"/>
    <mergeCell ref="I87:K87"/>
    <mergeCell ref="L87:N87"/>
    <mergeCell ref="O87:Q87"/>
    <mergeCell ref="B88:C88"/>
    <mergeCell ref="D88:H88"/>
    <mergeCell ref="I88:K88"/>
    <mergeCell ref="L88:N88"/>
    <mergeCell ref="O88:Q88"/>
    <mergeCell ref="B89:C89"/>
    <mergeCell ref="D89:H89"/>
    <mergeCell ref="I89:K89"/>
    <mergeCell ref="L89:N89"/>
    <mergeCell ref="O89:Q89"/>
    <mergeCell ref="B90:C90"/>
    <mergeCell ref="D90:H90"/>
    <mergeCell ref="I90:K90"/>
    <mergeCell ref="L90:N90"/>
    <mergeCell ref="O90:Q90"/>
    <mergeCell ref="B91:C91"/>
    <mergeCell ref="D91:H91"/>
    <mergeCell ref="I91:K91"/>
    <mergeCell ref="L91:N91"/>
    <mergeCell ref="O91:Q91"/>
    <mergeCell ref="B92:C92"/>
    <mergeCell ref="D92:H92"/>
    <mergeCell ref="I92:K92"/>
    <mergeCell ref="L92:N92"/>
    <mergeCell ref="O92:Q92"/>
    <mergeCell ref="B93:C93"/>
    <mergeCell ref="D93:H93"/>
    <mergeCell ref="I93:K93"/>
    <mergeCell ref="L93:N93"/>
    <mergeCell ref="O93:Q93"/>
    <mergeCell ref="B94:C94"/>
    <mergeCell ref="D94:H94"/>
    <mergeCell ref="I94:K94"/>
    <mergeCell ref="L94:N94"/>
    <mergeCell ref="O94:Q94"/>
    <mergeCell ref="I97:K97"/>
    <mergeCell ref="L97:N97"/>
    <mergeCell ref="O97:Q97"/>
    <mergeCell ref="B98:C98"/>
    <mergeCell ref="D98:H98"/>
    <mergeCell ref="I98:K98"/>
    <mergeCell ref="L98:N98"/>
    <mergeCell ref="O98:Q98"/>
    <mergeCell ref="B95:C95"/>
    <mergeCell ref="D95:H95"/>
    <mergeCell ref="I95:K95"/>
    <mergeCell ref="L95:N95"/>
    <mergeCell ref="O95:Q95"/>
    <mergeCell ref="B96:C96"/>
    <mergeCell ref="D96:H96"/>
    <mergeCell ref="I96:K96"/>
    <mergeCell ref="L96:N96"/>
    <mergeCell ref="O96:Q96"/>
    <mergeCell ref="S2:X3"/>
    <mergeCell ref="S5:V5"/>
    <mergeCell ref="W5:X5"/>
    <mergeCell ref="S6:V6"/>
    <mergeCell ref="B103:C103"/>
    <mergeCell ref="D103:H103"/>
    <mergeCell ref="I103:K103"/>
    <mergeCell ref="L103:N103"/>
    <mergeCell ref="O103:Q103"/>
    <mergeCell ref="B101:C101"/>
    <mergeCell ref="D101:H101"/>
    <mergeCell ref="I101:K101"/>
    <mergeCell ref="L101:N101"/>
    <mergeCell ref="O101:Q101"/>
    <mergeCell ref="B102:C102"/>
    <mergeCell ref="D102:H102"/>
    <mergeCell ref="I102:K102"/>
    <mergeCell ref="L102:N102"/>
    <mergeCell ref="O102:Q102"/>
    <mergeCell ref="B99:C99"/>
    <mergeCell ref="D99:H99"/>
    <mergeCell ref="I99:K99"/>
    <mergeCell ref="L99:N99"/>
    <mergeCell ref="O99:Q99"/>
    <mergeCell ref="W6:X6"/>
    <mergeCell ref="S7:V7"/>
    <mergeCell ref="W7:X7"/>
    <mergeCell ref="S8:V8"/>
    <mergeCell ref="W8:X8"/>
    <mergeCell ref="S9:V9"/>
    <mergeCell ref="W9:X9"/>
    <mergeCell ref="B105:C105"/>
    <mergeCell ref="D105:H105"/>
    <mergeCell ref="I105:K105"/>
    <mergeCell ref="L105:N105"/>
    <mergeCell ref="O105:Q105"/>
    <mergeCell ref="B104:C104"/>
    <mergeCell ref="D104:H104"/>
    <mergeCell ref="I104:K104"/>
    <mergeCell ref="L104:N104"/>
    <mergeCell ref="O104:Q104"/>
    <mergeCell ref="B100:C100"/>
    <mergeCell ref="D100:H100"/>
    <mergeCell ref="I100:K100"/>
    <mergeCell ref="L100:N100"/>
    <mergeCell ref="O100:Q100"/>
    <mergeCell ref="B97:C97"/>
    <mergeCell ref="D97:H97"/>
    <mergeCell ref="S13:V13"/>
    <mergeCell ref="W13:X13"/>
    <mergeCell ref="S14:V14"/>
    <mergeCell ref="W14:X14"/>
    <mergeCell ref="S15:V15"/>
    <mergeCell ref="W15:X15"/>
    <mergeCell ref="S10:V10"/>
    <mergeCell ref="W10:X10"/>
    <mergeCell ref="S11:V11"/>
    <mergeCell ref="W11:X11"/>
    <mergeCell ref="S12:V12"/>
    <mergeCell ref="W12:X12"/>
    <mergeCell ref="S19:V19"/>
    <mergeCell ref="W19:X19"/>
    <mergeCell ref="S20:V20"/>
    <mergeCell ref="W20:X20"/>
    <mergeCell ref="S21:V21"/>
    <mergeCell ref="W21:X21"/>
    <mergeCell ref="S16:V16"/>
    <mergeCell ref="W16:X16"/>
    <mergeCell ref="S17:V17"/>
    <mergeCell ref="W17:X17"/>
    <mergeCell ref="S18:V18"/>
    <mergeCell ref="W18:X18"/>
    <mergeCell ref="S25:V25"/>
    <mergeCell ref="W25:X25"/>
    <mergeCell ref="S26:V26"/>
    <mergeCell ref="W26:X26"/>
    <mergeCell ref="S27:V27"/>
    <mergeCell ref="W27:X27"/>
    <mergeCell ref="S22:V22"/>
    <mergeCell ref="W22:X22"/>
    <mergeCell ref="S23:V23"/>
    <mergeCell ref="W23:X23"/>
    <mergeCell ref="S24:V24"/>
    <mergeCell ref="W24:X24"/>
    <mergeCell ref="S31:V31"/>
    <mergeCell ref="W31:X31"/>
    <mergeCell ref="S32:V32"/>
    <mergeCell ref="W32:X32"/>
    <mergeCell ref="S33:V33"/>
    <mergeCell ref="W33:X33"/>
    <mergeCell ref="S28:V28"/>
    <mergeCell ref="W28:X28"/>
    <mergeCell ref="S29:V29"/>
    <mergeCell ref="W29:X29"/>
    <mergeCell ref="S30:V30"/>
    <mergeCell ref="W30:X30"/>
    <mergeCell ref="S37:V37"/>
    <mergeCell ref="W37:X37"/>
    <mergeCell ref="S38:V38"/>
    <mergeCell ref="W38:X38"/>
    <mergeCell ref="S39:V39"/>
    <mergeCell ref="W39:X39"/>
    <mergeCell ref="S34:V34"/>
    <mergeCell ref="W34:X34"/>
    <mergeCell ref="S35:V35"/>
    <mergeCell ref="W35:X35"/>
    <mergeCell ref="S36:V36"/>
    <mergeCell ref="W36:X36"/>
    <mergeCell ref="S43:V43"/>
    <mergeCell ref="W43:X43"/>
    <mergeCell ref="S44:V44"/>
    <mergeCell ref="W44:X44"/>
    <mergeCell ref="S45:V45"/>
    <mergeCell ref="W45:X45"/>
    <mergeCell ref="S40:V40"/>
    <mergeCell ref="W40:X40"/>
    <mergeCell ref="S41:V41"/>
    <mergeCell ref="W41:X41"/>
    <mergeCell ref="S42:V42"/>
    <mergeCell ref="W42:X42"/>
    <mergeCell ref="S49:V49"/>
    <mergeCell ref="W49:X49"/>
    <mergeCell ref="S50:V50"/>
    <mergeCell ref="W50:X50"/>
    <mergeCell ref="S51:V51"/>
    <mergeCell ref="W51:X51"/>
    <mergeCell ref="S46:V46"/>
    <mergeCell ref="W46:X46"/>
    <mergeCell ref="S47:V47"/>
    <mergeCell ref="W47:X47"/>
    <mergeCell ref="S48:V48"/>
    <mergeCell ref="W48:X48"/>
    <mergeCell ref="S55:V55"/>
    <mergeCell ref="W55:X55"/>
    <mergeCell ref="S56:V56"/>
    <mergeCell ref="W56:X56"/>
    <mergeCell ref="S57:V57"/>
    <mergeCell ref="W57:X57"/>
    <mergeCell ref="S52:V52"/>
    <mergeCell ref="W52:X52"/>
    <mergeCell ref="S53:V53"/>
    <mergeCell ref="W53:X53"/>
    <mergeCell ref="S54:V54"/>
    <mergeCell ref="W54:X54"/>
    <mergeCell ref="S61:V61"/>
    <mergeCell ref="W61:X61"/>
    <mergeCell ref="S62:V62"/>
    <mergeCell ref="W62:X62"/>
    <mergeCell ref="S63:V63"/>
    <mergeCell ref="W63:X63"/>
    <mergeCell ref="S58:V58"/>
    <mergeCell ref="W58:X58"/>
    <mergeCell ref="S59:V59"/>
    <mergeCell ref="W59:X59"/>
    <mergeCell ref="S60:V60"/>
    <mergeCell ref="W60:X60"/>
    <mergeCell ref="S67:V67"/>
    <mergeCell ref="W67:X67"/>
    <mergeCell ref="S68:V68"/>
    <mergeCell ref="W68:X68"/>
    <mergeCell ref="S69:V69"/>
    <mergeCell ref="W69:X69"/>
    <mergeCell ref="S64:V64"/>
    <mergeCell ref="W64:X64"/>
    <mergeCell ref="S65:V65"/>
    <mergeCell ref="W65:X65"/>
    <mergeCell ref="S66:V66"/>
    <mergeCell ref="W66:X66"/>
    <mergeCell ref="S73:V73"/>
    <mergeCell ref="W73:X73"/>
    <mergeCell ref="S74:V74"/>
    <mergeCell ref="W74:X74"/>
    <mergeCell ref="S75:V75"/>
    <mergeCell ref="W75:X75"/>
    <mergeCell ref="S70:V70"/>
    <mergeCell ref="W70:X70"/>
    <mergeCell ref="S71:V71"/>
    <mergeCell ref="W71:X71"/>
    <mergeCell ref="S72:V72"/>
    <mergeCell ref="W72:X72"/>
    <mergeCell ref="S79:V79"/>
    <mergeCell ref="W79:X79"/>
    <mergeCell ref="S80:V80"/>
    <mergeCell ref="W80:X80"/>
    <mergeCell ref="S81:V81"/>
    <mergeCell ref="W81:X81"/>
    <mergeCell ref="S76:V76"/>
    <mergeCell ref="W76:X76"/>
    <mergeCell ref="S77:V77"/>
    <mergeCell ref="W77:X77"/>
    <mergeCell ref="S78:V78"/>
    <mergeCell ref="W78:X78"/>
    <mergeCell ref="S85:V85"/>
    <mergeCell ref="W85:X85"/>
    <mergeCell ref="S86:V86"/>
    <mergeCell ref="W86:X86"/>
    <mergeCell ref="S87:V87"/>
    <mergeCell ref="W87:X87"/>
    <mergeCell ref="S82:V82"/>
    <mergeCell ref="W82:X82"/>
    <mergeCell ref="S83:V83"/>
    <mergeCell ref="W83:X83"/>
    <mergeCell ref="S84:V84"/>
    <mergeCell ref="W84:X84"/>
    <mergeCell ref="S91:V91"/>
    <mergeCell ref="W91:X91"/>
    <mergeCell ref="S92:V92"/>
    <mergeCell ref="W92:X92"/>
    <mergeCell ref="S93:V93"/>
    <mergeCell ref="W93:X93"/>
    <mergeCell ref="S88:V88"/>
    <mergeCell ref="W88:X88"/>
    <mergeCell ref="S89:V89"/>
    <mergeCell ref="W89:X89"/>
    <mergeCell ref="S90:V90"/>
    <mergeCell ref="W90:X90"/>
    <mergeCell ref="S97:V97"/>
    <mergeCell ref="W97:X97"/>
    <mergeCell ref="S98:V98"/>
    <mergeCell ref="W98:X98"/>
    <mergeCell ref="S99:V99"/>
    <mergeCell ref="W99:X99"/>
    <mergeCell ref="S94:V94"/>
    <mergeCell ref="W94:X94"/>
    <mergeCell ref="S95:V95"/>
    <mergeCell ref="W95:X95"/>
    <mergeCell ref="S96:V96"/>
    <mergeCell ref="W96:X96"/>
    <mergeCell ref="S103:V103"/>
    <mergeCell ref="W103:X103"/>
    <mergeCell ref="S104:V104"/>
    <mergeCell ref="W104:X104"/>
    <mergeCell ref="S105:V105"/>
    <mergeCell ref="W105:X105"/>
    <mergeCell ref="S100:V100"/>
    <mergeCell ref="W100:X100"/>
    <mergeCell ref="S101:V101"/>
    <mergeCell ref="W101:X101"/>
    <mergeCell ref="S102:V102"/>
    <mergeCell ref="W102:X102"/>
  </mergeCells>
  <conditionalFormatting sqref="W6:X105">
    <cfRule type="containsText" dxfId="7" priority="7" operator="containsText" text="wip">
      <formula>NOT(ISERROR(SEARCH("wip",W6)))</formula>
    </cfRule>
    <cfRule type="containsText" dxfId="6" priority="9" operator="containsText" text="n">
      <formula>NOT(ISERROR(SEARCH("n",W6)))</formula>
    </cfRule>
    <cfRule type="containsText" dxfId="5" priority="10" operator="containsText" text="y">
      <formula>NOT(ISERROR(SEARCH("y",W6)))</formula>
    </cfRule>
    <cfRule type="containsText" dxfId="4" priority="5" operator="containsText" text="obsolete">
      <formula>NOT(ISERROR(SEARCH("obsolete",W6)))</formula>
    </cfRule>
  </conditionalFormatting>
  <conditionalFormatting sqref="Y6:Y105">
    <cfRule type="iconSet" priority="8">
      <iconSet iconSet="3Symbols2" showValue="0">
        <cfvo type="percent" val="0"/>
        <cfvo type="num" val="0.4" gte="0"/>
        <cfvo type="num" val="1"/>
      </iconSet>
    </cfRule>
  </conditionalFormatting>
  <conditionalFormatting sqref="Z6:Z105">
    <cfRule type="dataBar" priority="6">
      <dataBar>
        <cfvo type="min"/>
        <cfvo type="max"/>
        <color rgb="FF638EC6"/>
      </dataBar>
      <extLst>
        <ext xmlns:x14="http://schemas.microsoft.com/office/spreadsheetml/2009/9/main" uri="{B025F937-C7B1-47D3-B67F-A62EFF666E3E}">
          <x14:id>{575AEC53-61BB-4D83-B92C-07A24C22C796}</x14:id>
        </ext>
      </extLst>
    </cfRule>
  </conditionalFormatting>
  <dataValidations count="2">
    <dataValidation type="list" allowBlank="1" showInputMessage="1" showErrorMessage="1" sqref="Z6:Z105" xr:uid="{E17D76A9-6E3B-4C33-9B43-4814C3A7F381}">
      <formula1>"1,2,3,4,5"</formula1>
    </dataValidation>
    <dataValidation type="list" allowBlank="1" showInputMessage="1" showErrorMessage="1" sqref="W6:X105" xr:uid="{BAA3257E-38FD-43D8-9CBB-6DD5199CB175}">
      <formula1>"y,n,wip,obsolete"</formula1>
    </dataValidation>
  </dataValidations>
  <pageMargins left="0.7" right="0.7" top="0.75" bottom="0.75"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dataBar" id="{575AEC53-61BB-4D83-B92C-07A24C22C796}">
            <x14:dataBar minLength="0" maxLength="100" gradient="0">
              <x14:cfvo type="autoMin"/>
              <x14:cfvo type="autoMax"/>
              <x14:negativeFillColor rgb="FFFF0000"/>
              <x14:axisColor rgb="FF000000"/>
            </x14:dataBar>
          </x14:cfRule>
          <xm:sqref>Z6:Z105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F4BCA-CE34-4E06-9B0C-C04C9EAEF063}">
  <sheetPr codeName="Sheet2">
    <tabColor theme="5"/>
  </sheetPr>
  <dimension ref="B1:D1"/>
  <sheetViews>
    <sheetView topLeftCell="B1" workbookViewId="0">
      <selection activeCell="E1" sqref="E1"/>
    </sheetView>
  </sheetViews>
  <sheetFormatPr defaultRowHeight="15" x14ac:dyDescent="0.25"/>
  <cols>
    <col min="1" max="1" width="0" hidden="1" customWidth="1"/>
    <col min="2" max="4" width="9.140625" style="5"/>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intro</vt:lpstr>
      <vt:lpstr>tracker</vt:lpstr>
      <vt:lpstr>GUI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Giacomo Cangi</dc:creator>
  <cp:lastModifiedBy>Giacomo Cangi</cp:lastModifiedBy>
  <dcterms:created xsi:type="dcterms:W3CDTF">2025-04-18T21:17:50Z</dcterms:created>
  <dcterms:modified xsi:type="dcterms:W3CDTF">2026-02-20T15:36:08Z</dcterms:modified>
</cp:coreProperties>
</file>