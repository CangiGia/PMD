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como\anaconda3\envs\GiacoEnv\PMD\"/>
    </mc:Choice>
  </mc:AlternateContent>
  <xr:revisionPtr revIDLastSave="0" documentId="13_ncr:1_{66035AA1-DB3B-4BFD-A68E-8196844A5DAB}" xr6:coauthVersionLast="47" xr6:coauthVersionMax="47" xr10:uidLastSave="{00000000-0000-0000-0000-000000000000}"/>
  <bookViews>
    <workbookView xWindow="-24098" yWindow="-98" windowWidth="24196" windowHeight="14476" activeTab="2" xr2:uid="{7BA5274D-81DD-4C31-BBEE-FB65E9139051}"/>
  </bookViews>
  <sheets>
    <sheet name="jacobian_py" sheetId="2" r:id="rId1"/>
    <sheet name="jacobian_mat" sheetId="3" r:id="rId2"/>
    <sheet name="Sheet1" sheetId="1" r:id="rId3"/>
  </sheets>
  <definedNames>
    <definedName name="ExternalData_1" localSheetId="1" hidden="1">jacobian_mat!$A$1:$I$9</definedName>
    <definedName name="ExternalData_1" localSheetId="0" hidden="1">jacobian_py!$A$1:$I$9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1" l="1" a="1"/>
  <c r="B12" i="1" s="1"/>
  <c r="B2" i="1" a="1"/>
  <c r="B2" i="1" s="1"/>
  <c r="L22" i="1" l="1"/>
  <c r="M23" i="1"/>
  <c r="T26" i="1"/>
  <c r="S26" i="1"/>
  <c r="R26" i="1"/>
  <c r="L27" i="1"/>
  <c r="P22" i="1"/>
  <c r="O22" i="1"/>
  <c r="N22" i="1"/>
  <c r="M22" i="1"/>
  <c r="T29" i="1"/>
  <c r="T25" i="1"/>
  <c r="S29" i="1"/>
  <c r="S25" i="1"/>
  <c r="R29" i="1"/>
  <c r="R25" i="1"/>
  <c r="Q29" i="1"/>
  <c r="Q25" i="1"/>
  <c r="P29" i="1"/>
  <c r="P25" i="1"/>
  <c r="S22" i="1"/>
  <c r="L28" i="1"/>
  <c r="Q22" i="1"/>
  <c r="P26" i="1"/>
  <c r="O26" i="1"/>
  <c r="L24" i="1"/>
  <c r="L23" i="1"/>
  <c r="O25" i="1"/>
  <c r="N29" i="1"/>
  <c r="M25" i="1"/>
  <c r="T28" i="1"/>
  <c r="S28" i="1"/>
  <c r="R24" i="1"/>
  <c r="Q28" i="1"/>
  <c r="P24" i="1"/>
  <c r="O24" i="1"/>
  <c r="N28" i="1"/>
  <c r="M24" i="1"/>
  <c r="T23" i="1"/>
  <c r="S27" i="1"/>
  <c r="S23" i="1"/>
  <c r="R27" i="1"/>
  <c r="R23" i="1"/>
  <c r="Q27" i="1"/>
  <c r="Q23" i="1"/>
  <c r="P27" i="1"/>
  <c r="P23" i="1"/>
  <c r="O27" i="1"/>
  <c r="O23" i="1"/>
  <c r="M27" i="1"/>
  <c r="T22" i="1"/>
  <c r="L29" i="1"/>
  <c r="R22" i="1"/>
  <c r="Q26" i="1"/>
  <c r="L26" i="1"/>
  <c r="L25" i="1"/>
  <c r="N26" i="1"/>
  <c r="M26" i="1"/>
  <c r="O29" i="1"/>
  <c r="N25" i="1"/>
  <c r="M29" i="1"/>
  <c r="T24" i="1"/>
  <c r="S24" i="1"/>
  <c r="R28" i="1"/>
  <c r="Q24" i="1"/>
  <c r="P28" i="1"/>
  <c r="O28" i="1"/>
  <c r="N24" i="1"/>
  <c r="M28" i="1"/>
  <c r="T27" i="1"/>
  <c r="B22" i="1"/>
  <c r="N27" i="1"/>
  <c r="N23" i="1"/>
  <c r="G28" i="1"/>
  <c r="F28" i="1"/>
  <c r="J27" i="1"/>
  <c r="H27" i="1"/>
  <c r="G24" i="1"/>
  <c r="F24" i="1"/>
  <c r="D24" i="1"/>
  <c r="C24" i="1"/>
  <c r="J23" i="1"/>
  <c r="I23" i="1"/>
  <c r="E28" i="1"/>
  <c r="D28" i="1"/>
  <c r="C28" i="1"/>
  <c r="I27" i="1"/>
  <c r="G27" i="1"/>
  <c r="E24" i="1"/>
  <c r="H23" i="1"/>
  <c r="G23" i="1"/>
  <c r="E27" i="1"/>
  <c r="F26" i="1"/>
  <c r="B25" i="1"/>
  <c r="I29" i="1"/>
  <c r="F29" i="1"/>
  <c r="D25" i="1"/>
  <c r="C29" i="1"/>
  <c r="C25" i="1"/>
  <c r="F27" i="1"/>
  <c r="F23" i="1"/>
  <c r="E23" i="1"/>
  <c r="D27" i="1"/>
  <c r="H22" i="1"/>
  <c r="G26" i="1"/>
  <c r="B26" i="1"/>
  <c r="E26" i="1"/>
  <c r="B24" i="1"/>
  <c r="D26" i="1"/>
  <c r="D22" i="1"/>
  <c r="J29" i="1"/>
  <c r="J25" i="1"/>
  <c r="I25" i="1"/>
  <c r="H29" i="1"/>
  <c r="H25" i="1"/>
  <c r="G29" i="1"/>
  <c r="G25" i="1"/>
  <c r="F25" i="1"/>
  <c r="E29" i="1"/>
  <c r="E25" i="1"/>
  <c r="D29" i="1"/>
  <c r="J28" i="1"/>
  <c r="J24" i="1"/>
  <c r="I28" i="1"/>
  <c r="I24" i="1"/>
  <c r="H28" i="1"/>
  <c r="H24" i="1"/>
  <c r="C27" i="1"/>
  <c r="C23" i="1"/>
  <c r="J22" i="1"/>
  <c r="B29" i="1"/>
  <c r="I26" i="1"/>
  <c r="I22" i="1"/>
  <c r="E22" i="1"/>
  <c r="D23" i="1"/>
  <c r="J26" i="1"/>
  <c r="B28" i="1"/>
  <c r="H26" i="1"/>
  <c r="B27" i="1"/>
  <c r="G22" i="1"/>
  <c r="F22" i="1"/>
  <c r="B23" i="1"/>
  <c r="C26" i="1"/>
  <c r="C2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29EB12-32F9-4192-936B-E0155D144782}" keepAlive="1" name="Query - jacobian" description="Connection to the 'jacobian' query in the workbook." type="5" refreshedVersion="8" background="1" saveData="1">
    <dbPr connection="Provider=Microsoft.Mashup.OleDb.1;Data Source=$Workbook$;Location=jacobian;Extended Properties=&quot;&quot;" command="SELECT * FROM [jacobian]"/>
  </connection>
  <connection id="2" xr16:uid="{C5A458CC-BF36-45D6-A33C-F9CF9EF74596}" keepAlive="1" name="Query - jacobian (2)" description="Connection to the 'jacobian (2)' query in the workbook." type="5" refreshedVersion="8" background="1" saveData="1">
    <dbPr connection="Provider=Microsoft.Mashup.OleDb.1;Data Source=$Workbook$;Location=&quot;jacobian (2)&quot;;Extended Properties=&quot;&quot;" command="SELECT * FROM [jacobian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<sst xmlns="http://schemas.openxmlformats.org/spreadsheetml/2006/main" count="21" uniqueCount="12">
  <si>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</si>
  <si>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</si>
  <si>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</si>
  <si>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</si>
  <si>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</si>
  <si>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</si>
  <si>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</si>
  <si>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</si>
  <si>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</si>
  <si>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PYTHON</t>
  </si>
  <si>
    <t>MATLAB</t>
  </si>
  <si>
    <t>COMPARISON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</si>
</sst>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4">
    <dxf>
      <font>
        <b/>
        <i/>
        <color rgb="FFC00000"/>
      </font>
      <fill>
        <patternFill>
          <bgColor theme="5" tint="0.79998168889431442"/>
        </patternFill>
      </fill>
    </dxf>
    <dxf>
      <font>
        <b/>
        <i/>
        <color rgb="FFC00000"/>
      </font>
      <fill>
        <patternFill>
          <bgColor theme="5" tint="0.79998168889431442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52386</xdr:colOff>
      <xdr:row>24</xdr:row>
      <xdr:rowOff>38101</xdr:rowOff>
    </xdr:from>
    <xdr:to>
      <xdr:col>11</xdr:col>
      <xdr:colOff>247650</xdr:colOff>
      <xdr:row>25</xdr:row>
      <xdr:rowOff>185738</xdr:rowOff>
    </xdr:to>
    <xdr:sp macro="" textlink="">
      <xdr:nvSpPr>
        <xdr:cNvPr id="2" name="Arrow: Right 1">
          <a:extLst>
            <a:ext uri="{FF2B5EF4-FFF2-40B4-BE49-F238E27FC236}">
              <a16:creationId xmlns:a16="http://schemas.microsoft.com/office/drawing/2014/main" id="{8823B3F7-CC22-4C09-07CB-08511641F916}"/>
            </a:ext>
          </a:extLst>
        </xdr:cNvPr>
        <xdr:cNvSpPr/>
      </xdr:nvSpPr>
      <xdr:spPr>
        <a:xfrm>
          <a:off x="5729286" y="4610101"/>
          <a:ext cx="385764" cy="338137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2E89226-2F01-4835-B679-0C12300EB1D8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88A6533-1C68-49BA-98C3-346B71144F4A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906954-C3C8-46AB-9156-E9625245F2E5}" name="jacobian_py" displayName="jacobian_py" ref="A1:I9" tableType="queryTable" totalsRowShown="0" headerRowDxfId="14" dataDxfId="13">
  <autoFilter ref="A1:I9" xr:uid="{07906954-C3C8-46AB-9156-E9625245F2E5}"/>
  <tableColumns count="9">
    <tableColumn id="1" xr3:uid="{3EFF0767-60C6-416E-B71B-4C319168EEC9}" uniqueName="1" name="Column1" queryTableFieldId="1" dataDxfId="23"/>
    <tableColumn id="2" xr3:uid="{E5547E74-AFCF-4BAC-827D-4EF167BEC51F}" uniqueName="2" name="Column2" queryTableFieldId="2" dataDxfId="22"/>
    <tableColumn id="3" xr3:uid="{AF5B6DC4-C8BF-42DD-8B98-E2AAA92A7B15}" uniqueName="3" name="Column3" queryTableFieldId="3" dataDxfId="21"/>
    <tableColumn id="4" xr3:uid="{4E56C7D9-D0C5-4B40-A265-3CA89226DD1C}" uniqueName="4" name="Column4" queryTableFieldId="4" dataDxfId="20"/>
    <tableColumn id="5" xr3:uid="{14E2CADB-5B31-4E8B-9EAC-3A22BE0A176B}" uniqueName="5" name="Column5" queryTableFieldId="5" dataDxfId="19"/>
    <tableColumn id="6" xr3:uid="{E2BE9F32-F51A-4DE1-803B-078F3EB1B8E3}" uniqueName="6" name="Column6" queryTableFieldId="6" dataDxfId="18"/>
    <tableColumn id="7" xr3:uid="{71187918-BDB4-4A19-AE3D-EA7A49F217A4}" uniqueName="7" name="Column7" queryTableFieldId="7" dataDxfId="17"/>
    <tableColumn id="8" xr3:uid="{E89112E6-B7E5-4B89-8459-31560B3C0AAC}" uniqueName="8" name="Column8" queryTableFieldId="8" dataDxfId="16"/>
    <tableColumn id="9" xr3:uid="{6FCC6F90-E2EB-4A91-85CE-3D1D2A952B6E}" uniqueName="9" name="Column9" queryTableFieldId="9" dataDxfId="15"/>
  </tableColumns>
  <tableStyleInfo name="TableStyleMedium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6F2A03-7C8C-4A3F-935C-99242C452B4D}" name="jacobian_mat" displayName="jacobian_mat" ref="A1:I9" tableType="queryTable" totalsRowShown="0" headerRowDxfId="3" dataDxfId="2">
  <autoFilter ref="A1:I9" xr:uid="{D16F2A03-7C8C-4A3F-935C-99242C452B4D}"/>
  <tableColumns count="9">
    <tableColumn id="1" xr3:uid="{221D2610-E8A2-4AB5-8C77-30F55FF60BE0}" uniqueName="1" name="Column1" queryTableFieldId="1" dataDxfId="12"/>
    <tableColumn id="2" xr3:uid="{5914609A-C0E4-4889-9FA6-FC579EEE57C2}" uniqueName="2" name="Column2" queryTableFieldId="2" dataDxfId="11"/>
    <tableColumn id="3" xr3:uid="{26971623-168D-419A-9AC5-262991D4E7D1}" uniqueName="3" name="Column3" queryTableFieldId="3" dataDxfId="10"/>
    <tableColumn id="4" xr3:uid="{D051BA69-5E6B-4EAE-86F2-4793C8570181}" uniqueName="4" name="Column4" queryTableFieldId="4" dataDxfId="9"/>
    <tableColumn id="5" xr3:uid="{1C8CE7E0-A1A3-493A-9545-99C6F7277991}" uniqueName="5" name="Column5" queryTableFieldId="5" dataDxfId="8"/>
    <tableColumn id="6" xr3:uid="{F5E63AD8-D17B-4070-ACB1-730530728C7C}" uniqueName="6" name="Column6" queryTableFieldId="6" dataDxfId="7"/>
    <tableColumn id="7" xr3:uid="{299D251F-7B0F-4EF3-8D7B-959148995805}" uniqueName="7" name="Column7" queryTableFieldId="7" dataDxfId="6"/>
    <tableColumn id="8" xr3:uid="{D24FF518-2586-4C9C-9A99-FC11C5DB17E3}" uniqueName="8" name="Column8" queryTableFieldId="8" dataDxfId="5"/>
    <tableColumn id="9" xr3:uid="{44E6916A-3956-4751-805F-DD654E9B90BF}" uniqueName="9" name="Column9" queryTableFieldId="9" dataDxfId="4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98A71-B362-46CF-AF01-038ED52D25A2}">
  <sheetPr codeName="Sheet2"/>
  <dimension ref="A1:I9"/>
  <sheetViews>
    <sheetView workbookViewId="0">
      <selection activeCell="E17" sqref="E16:E17"/>
    </sheetView>
  </sheetViews>
  <sheetFormatPr defaultRowHeight="15" x14ac:dyDescent="0.25"/>
  <cols>
    <col min="1" max="9" width="11.4257812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>
        <v>0</v>
      </c>
      <c r="C2" s="1">
        <v>-8.8100000000000001E-3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5">
      <c r="A3" s="1">
        <v>0</v>
      </c>
      <c r="B3" s="1">
        <v>1</v>
      </c>
      <c r="C3" s="1">
        <v>-0.239838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5">
      <c r="A4" s="1">
        <v>1</v>
      </c>
      <c r="B4" s="1">
        <v>0</v>
      </c>
      <c r="C4" s="1">
        <v>6.607E-3</v>
      </c>
      <c r="D4" s="1">
        <v>-1</v>
      </c>
      <c r="E4" s="1">
        <v>0</v>
      </c>
      <c r="F4" s="1">
        <v>-0.105167</v>
      </c>
      <c r="G4" s="1">
        <v>0</v>
      </c>
      <c r="H4" s="1">
        <v>0</v>
      </c>
      <c r="I4" s="1">
        <v>0</v>
      </c>
    </row>
    <row r="5" spans="1:9" x14ac:dyDescent="0.25">
      <c r="A5" s="1">
        <v>0</v>
      </c>
      <c r="B5" s="1">
        <v>1</v>
      </c>
      <c r="C5" s="1">
        <v>0.17987900000000001</v>
      </c>
      <c r="D5" s="1">
        <v>0</v>
      </c>
      <c r="E5" s="1">
        <v>-1</v>
      </c>
      <c r="F5" s="1">
        <v>6.1966E-2</v>
      </c>
      <c r="G5" s="1">
        <v>0</v>
      </c>
      <c r="H5" s="1">
        <v>0</v>
      </c>
      <c r="I5" s="1">
        <v>0</v>
      </c>
    </row>
    <row r="6" spans="1:9" x14ac:dyDescent="0.25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-0.111813</v>
      </c>
      <c r="G6" s="1">
        <v>-1</v>
      </c>
      <c r="H6" s="1">
        <v>0</v>
      </c>
      <c r="I6" s="1">
        <v>3.0782E-2</v>
      </c>
    </row>
    <row r="7" spans="1:9" x14ac:dyDescent="0.25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-0.10907699999999999</v>
      </c>
      <c r="G7" s="1">
        <v>0</v>
      </c>
      <c r="H7" s="1">
        <v>-1</v>
      </c>
      <c r="I7" s="1">
        <v>-0.126303</v>
      </c>
    </row>
    <row r="8" spans="1:9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3.0782E-2</v>
      </c>
    </row>
    <row r="9" spans="1:9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-0.126303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C5D8E-23ED-4275-A1E5-CED84E974875}">
  <sheetPr codeName="Sheet3"/>
  <dimension ref="A1:I9"/>
  <sheetViews>
    <sheetView workbookViewId="0">
      <selection activeCell="G16" sqref="G16"/>
    </sheetView>
  </sheetViews>
  <sheetFormatPr defaultRowHeight="15" x14ac:dyDescent="0.25"/>
  <cols>
    <col min="1" max="2" width="11.42578125" bestFit="1" customWidth="1"/>
    <col min="3" max="3" width="13.28515625" bestFit="1" customWidth="1"/>
    <col min="4" max="5" width="11.42578125" bestFit="1" customWidth="1"/>
    <col min="6" max="6" width="13.28515625" bestFit="1" customWidth="1"/>
    <col min="7" max="8" width="11.42578125" bestFit="1" customWidth="1"/>
    <col min="9" max="9" width="13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1</v>
      </c>
      <c r="B2" s="1">
        <v>0</v>
      </c>
      <c r="C2" s="1">
        <v>-8.8099525751060108E-3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</row>
    <row r="3" spans="1:9" x14ac:dyDescent="0.25">
      <c r="A3" s="1">
        <v>0</v>
      </c>
      <c r="B3" s="1">
        <v>1</v>
      </c>
      <c r="C3" s="1">
        <v>-0.23983824702416501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</row>
    <row r="4" spans="1:9" x14ac:dyDescent="0.25">
      <c r="A4" s="1">
        <v>1</v>
      </c>
      <c r="B4" s="1">
        <v>0</v>
      </c>
      <c r="C4" s="1">
        <v>6.6074644313295098E-3</v>
      </c>
      <c r="D4" s="1">
        <v>-1</v>
      </c>
      <c r="E4" s="1">
        <v>0</v>
      </c>
      <c r="F4" s="1">
        <v>-0.105167325314359</v>
      </c>
      <c r="G4" s="1">
        <v>0</v>
      </c>
      <c r="H4" s="1">
        <v>0</v>
      </c>
      <c r="I4" s="1">
        <v>0</v>
      </c>
    </row>
    <row r="5" spans="1:9" x14ac:dyDescent="0.25">
      <c r="A5" s="1">
        <v>0</v>
      </c>
      <c r="B5" s="1">
        <v>1</v>
      </c>
      <c r="C5" s="1">
        <v>0.17987868526812401</v>
      </c>
      <c r="D5" s="1">
        <v>0</v>
      </c>
      <c r="E5" s="1">
        <v>-1</v>
      </c>
      <c r="F5" s="1">
        <v>6.1966391586277203E-2</v>
      </c>
      <c r="G5" s="1">
        <v>0</v>
      </c>
      <c r="H5" s="1">
        <v>0</v>
      </c>
      <c r="I5" s="1">
        <v>0</v>
      </c>
    </row>
    <row r="6" spans="1:9" x14ac:dyDescent="0.25">
      <c r="A6" s="1">
        <v>0</v>
      </c>
      <c r="B6" s="1">
        <v>0</v>
      </c>
      <c r="C6" s="1">
        <v>0</v>
      </c>
      <c r="D6" s="1">
        <v>1</v>
      </c>
      <c r="E6" s="1">
        <v>0</v>
      </c>
      <c r="F6" s="1">
        <v>-0.111813304144919</v>
      </c>
      <c r="G6" s="1">
        <v>-1</v>
      </c>
      <c r="H6" s="1">
        <v>0</v>
      </c>
      <c r="I6" s="1">
        <v>3.0781606226421201E-2</v>
      </c>
    </row>
    <row r="7" spans="1:9" x14ac:dyDescent="0.25">
      <c r="A7" s="1">
        <v>0</v>
      </c>
      <c r="B7" s="1">
        <v>0</v>
      </c>
      <c r="C7" s="1">
        <v>0</v>
      </c>
      <c r="D7" s="1">
        <v>0</v>
      </c>
      <c r="E7" s="1">
        <v>1</v>
      </c>
      <c r="F7" s="1">
        <v>-0.109076968312269</v>
      </c>
      <c r="G7" s="1">
        <v>0</v>
      </c>
      <c r="H7" s="1">
        <v>-1</v>
      </c>
      <c r="I7" s="1">
        <v>-0.12630317778314801</v>
      </c>
    </row>
    <row r="8" spans="1:9" x14ac:dyDescent="0.25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0</v>
      </c>
      <c r="I8" s="1">
        <v>3.0781606226421201E-2</v>
      </c>
    </row>
    <row r="9" spans="1:9" x14ac:dyDescent="0.25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-0.12630317778314801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8A43-EAE0-450F-81EF-6DFDE4C12DEF}">
  <sheetPr codeName="Sheet1"/>
  <dimension ref="B1:T29"/>
  <sheetViews>
    <sheetView tabSelected="1" workbookViewId="0">
      <selection activeCell="O6" sqref="O6"/>
    </sheetView>
  </sheetViews>
  <sheetFormatPr defaultRowHeight="15" x14ac:dyDescent="0.25"/>
  <cols>
    <col min="1" max="1" width="2.85546875" style="1" customWidth="1"/>
    <col min="2" max="10" width="9.140625" style="1"/>
    <col min="11" max="11" width="2.85546875" style="1" customWidth="1"/>
    <col min="12" max="16384" width="9.140625" style="1"/>
  </cols>
  <sheetData>
    <row r="1" spans="2:10" x14ac:dyDescent="0.25">
      <c r="B1" s="3" t="s">
        <v>10</v>
      </c>
      <c r="C1" s="3"/>
      <c r="D1" s="3"/>
      <c r="E1" s="3"/>
      <c r="F1" s="3"/>
      <c r="G1" s="3"/>
      <c r="H1" s="3"/>
      <c r="I1" s="3"/>
      <c r="J1" s="3"/>
    </row>
    <row r="2" spans="2:10" x14ac:dyDescent="0.25">
      <c r="B2" s="1" cm="1">
        <f t="array" ref="B2:J9">jacobian_mat[]</f>
        <v>1</v>
      </c>
      <c r="C2" s="1">
        <v>0</v>
      </c>
      <c r="D2" s="1">
        <v>-8.8099525751060108E-3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</row>
    <row r="3" spans="2:10" x14ac:dyDescent="0.25">
      <c r="B3" s="1">
        <v>0</v>
      </c>
      <c r="C3" s="1">
        <v>1</v>
      </c>
      <c r="D3" s="1">
        <v>-0.23983824702416501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</row>
    <row r="4" spans="2:10" x14ac:dyDescent="0.25">
      <c r="B4" s="1">
        <v>1</v>
      </c>
      <c r="C4" s="1">
        <v>0</v>
      </c>
      <c r="D4" s="1">
        <v>6.6074644313295098E-3</v>
      </c>
      <c r="E4" s="1">
        <v>-1</v>
      </c>
      <c r="F4" s="1">
        <v>0</v>
      </c>
      <c r="G4" s="1">
        <v>-0.105167325314359</v>
      </c>
      <c r="H4" s="1">
        <v>0</v>
      </c>
      <c r="I4" s="1">
        <v>0</v>
      </c>
      <c r="J4" s="1">
        <v>0</v>
      </c>
    </row>
    <row r="5" spans="2:10" x14ac:dyDescent="0.25">
      <c r="B5" s="1">
        <v>0</v>
      </c>
      <c r="C5" s="1">
        <v>1</v>
      </c>
      <c r="D5" s="1">
        <v>0.17987868526812401</v>
      </c>
      <c r="E5" s="1">
        <v>0</v>
      </c>
      <c r="F5" s="1">
        <v>-1</v>
      </c>
      <c r="G5" s="1">
        <v>6.1966391586277203E-2</v>
      </c>
      <c r="H5" s="1">
        <v>0</v>
      </c>
      <c r="I5" s="1">
        <v>0</v>
      </c>
      <c r="J5" s="1">
        <v>0</v>
      </c>
    </row>
    <row r="6" spans="2:10" x14ac:dyDescent="0.25"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-0.111813304144919</v>
      </c>
      <c r="H6" s="1">
        <v>-1</v>
      </c>
      <c r="I6" s="1">
        <v>0</v>
      </c>
      <c r="J6" s="1">
        <v>3.0781606226421201E-2</v>
      </c>
    </row>
    <row r="7" spans="2:10" x14ac:dyDescent="0.25"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-0.109076968312269</v>
      </c>
      <c r="H7" s="1">
        <v>0</v>
      </c>
      <c r="I7" s="1">
        <v>-1</v>
      </c>
      <c r="J7" s="1">
        <v>-0.12630317778314801</v>
      </c>
    </row>
    <row r="8" spans="2:10" x14ac:dyDescent="0.25"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1</v>
      </c>
      <c r="I8" s="1">
        <v>0</v>
      </c>
      <c r="J8" s="1">
        <v>3.0781606226421201E-2</v>
      </c>
    </row>
    <row r="9" spans="2:10" x14ac:dyDescent="0.25"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</v>
      </c>
      <c r="J9" s="1">
        <v>-0.12630317778314801</v>
      </c>
    </row>
    <row r="11" spans="2:10" x14ac:dyDescent="0.25">
      <c r="B11" s="2" t="s">
        <v>9</v>
      </c>
      <c r="C11" s="2"/>
      <c r="D11" s="2"/>
      <c r="E11" s="2"/>
      <c r="F11" s="2"/>
      <c r="G11" s="2"/>
      <c r="H11" s="2"/>
      <c r="I11" s="2"/>
      <c r="J11" s="2"/>
    </row>
    <row r="12" spans="2:10" x14ac:dyDescent="0.25">
      <c r="B12" s="1" cm="1">
        <f t="array" ref="B12:J19">jacobian_py[]</f>
        <v>1</v>
      </c>
      <c r="C12" s="1">
        <v>0</v>
      </c>
      <c r="D12" s="1">
        <v>-8.8100000000000001E-3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</row>
    <row r="13" spans="2:10" x14ac:dyDescent="0.25">
      <c r="B13" s="1">
        <v>0</v>
      </c>
      <c r="C13" s="1">
        <v>1</v>
      </c>
      <c r="D13" s="1">
        <v>-0.239838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</row>
    <row r="14" spans="2:10" x14ac:dyDescent="0.25">
      <c r="B14" s="1">
        <v>1</v>
      </c>
      <c r="C14" s="1">
        <v>0</v>
      </c>
      <c r="D14" s="1">
        <v>6.607E-3</v>
      </c>
      <c r="E14" s="1">
        <v>-1</v>
      </c>
      <c r="F14" s="1">
        <v>0</v>
      </c>
      <c r="G14" s="1">
        <v>-0.105167</v>
      </c>
      <c r="H14" s="1">
        <v>0</v>
      </c>
      <c r="I14" s="1">
        <v>0</v>
      </c>
      <c r="J14" s="1">
        <v>0</v>
      </c>
    </row>
    <row r="15" spans="2:10" x14ac:dyDescent="0.25">
      <c r="B15" s="1">
        <v>0</v>
      </c>
      <c r="C15" s="1">
        <v>1</v>
      </c>
      <c r="D15" s="1">
        <v>0.17987900000000001</v>
      </c>
      <c r="E15" s="1">
        <v>0</v>
      </c>
      <c r="F15" s="1">
        <v>-1</v>
      </c>
      <c r="G15" s="1">
        <v>6.1966E-2</v>
      </c>
      <c r="H15" s="1">
        <v>0</v>
      </c>
      <c r="I15" s="1">
        <v>0</v>
      </c>
      <c r="J15" s="1">
        <v>0</v>
      </c>
    </row>
    <row r="16" spans="2:10" x14ac:dyDescent="0.25">
      <c r="B16" s="1">
        <v>0</v>
      </c>
      <c r="C16" s="1">
        <v>0</v>
      </c>
      <c r="D16" s="1">
        <v>0</v>
      </c>
      <c r="E16" s="1">
        <v>1</v>
      </c>
      <c r="F16" s="1">
        <v>0</v>
      </c>
      <c r="G16" s="1">
        <v>-0.111813</v>
      </c>
      <c r="H16" s="1">
        <v>-1</v>
      </c>
      <c r="I16" s="1">
        <v>0</v>
      </c>
      <c r="J16" s="1">
        <v>3.0782E-2</v>
      </c>
    </row>
    <row r="17" spans="2:20" x14ac:dyDescent="0.25"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-0.10907699999999999</v>
      </c>
      <c r="H17" s="1">
        <v>0</v>
      </c>
      <c r="I17" s="1">
        <v>-1</v>
      </c>
      <c r="J17" s="1">
        <v>-0.126303</v>
      </c>
    </row>
    <row r="18" spans="2:20" x14ac:dyDescent="0.25"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3.0782E-2</v>
      </c>
    </row>
    <row r="19" spans="2:20" x14ac:dyDescent="0.25"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1</v>
      </c>
      <c r="J19" s="1">
        <v>-0.126303</v>
      </c>
    </row>
    <row r="21" spans="2:20" x14ac:dyDescent="0.25">
      <c r="B21" s="3" t="s">
        <v>11</v>
      </c>
      <c r="C21" s="3"/>
      <c r="D21" s="3"/>
      <c r="E21" s="3"/>
      <c r="F21" s="3"/>
      <c r="G21" s="3"/>
      <c r="H21" s="3"/>
      <c r="I21" s="3"/>
      <c r="J21" s="3"/>
    </row>
    <row r="22" spans="2:20" x14ac:dyDescent="0.25">
      <c r="B22" s="1" t="b">
        <f>(B2=B12)</f>
        <v>1</v>
      </c>
      <c r="C22" s="1" t="b">
        <f>(C2=C12)</f>
        <v>1</v>
      </c>
      <c r="D22" s="1" t="b">
        <f>(D2=D12)</f>
        <v>0</v>
      </c>
      <c r="E22" s="1" t="b">
        <f>(E2=E12)</f>
        <v>1</v>
      </c>
      <c r="F22" s="1" t="b">
        <f>(F2=F12)</f>
        <v>1</v>
      </c>
      <c r="G22" s="1" t="b">
        <f>(G2=G12)</f>
        <v>1</v>
      </c>
      <c r="H22" s="1" t="b">
        <f>(H2=H12)</f>
        <v>1</v>
      </c>
      <c r="I22" s="1" t="b">
        <f>(I2=I12)</f>
        <v>1</v>
      </c>
      <c r="J22" s="1" t="b">
        <f>(J2=J12)</f>
        <v>1</v>
      </c>
      <c r="L22" s="1">
        <f>B12-B2</f>
        <v>0</v>
      </c>
      <c r="M22" s="1">
        <f>C12-C2</f>
        <v>0</v>
      </c>
      <c r="N22" s="1">
        <f>D12-D2</f>
        <v>-4.7424893989331252E-8</v>
      </c>
      <c r="O22" s="1">
        <f>E12-E2</f>
        <v>0</v>
      </c>
      <c r="P22" s="1">
        <f>F12-F2</f>
        <v>0</v>
      </c>
      <c r="Q22" s="1">
        <f>G12-G2</f>
        <v>0</v>
      </c>
      <c r="R22" s="1">
        <f>H12-H2</f>
        <v>0</v>
      </c>
      <c r="S22" s="1">
        <f>I12-I2</f>
        <v>0</v>
      </c>
      <c r="T22" s="1">
        <f>J12-J2</f>
        <v>0</v>
      </c>
    </row>
    <row r="23" spans="2:20" x14ac:dyDescent="0.25">
      <c r="B23" s="1" t="b">
        <f>(B3=B13)</f>
        <v>1</v>
      </c>
      <c r="C23" s="1" t="b">
        <f>(C3=C13)</f>
        <v>1</v>
      </c>
      <c r="D23" s="1" t="b">
        <f>(D3=D13)</f>
        <v>0</v>
      </c>
      <c r="E23" s="1" t="b">
        <f>(E3=E13)</f>
        <v>1</v>
      </c>
      <c r="F23" s="1" t="b">
        <f>(F3=F13)</f>
        <v>1</v>
      </c>
      <c r="G23" s="1" t="b">
        <f>(G3=G13)</f>
        <v>1</v>
      </c>
      <c r="H23" s="1" t="b">
        <f>(H3=H13)</f>
        <v>1</v>
      </c>
      <c r="I23" s="1" t="b">
        <f>(I3=I13)</f>
        <v>1</v>
      </c>
      <c r="J23" s="1" t="b">
        <f>(J3=J13)</f>
        <v>1</v>
      </c>
      <c r="L23" s="1">
        <f>B13-B3</f>
        <v>0</v>
      </c>
      <c r="M23" s="1">
        <f>C13-C3</f>
        <v>0</v>
      </c>
      <c r="N23" s="1">
        <f>D13-D3</f>
        <v>2.4702416501209967E-7</v>
      </c>
      <c r="O23" s="1">
        <f>E13-E3</f>
        <v>0</v>
      </c>
      <c r="P23" s="1">
        <f>F13-F3</f>
        <v>0</v>
      </c>
      <c r="Q23" s="1">
        <f>G13-G3</f>
        <v>0</v>
      </c>
      <c r="R23" s="1">
        <f>H13-H3</f>
        <v>0</v>
      </c>
      <c r="S23" s="1">
        <f>I13-I3</f>
        <v>0</v>
      </c>
      <c r="T23" s="1">
        <f>J13-J3</f>
        <v>0</v>
      </c>
    </row>
    <row r="24" spans="2:20" x14ac:dyDescent="0.25">
      <c r="B24" s="1" t="b">
        <f>(B4=B14)</f>
        <v>1</v>
      </c>
      <c r="C24" s="1" t="b">
        <f>(C4=C14)</f>
        <v>1</v>
      </c>
      <c r="D24" s="1" t="b">
        <f>(D4=D14)</f>
        <v>0</v>
      </c>
      <c r="E24" s="1" t="b">
        <f>(E4=E14)</f>
        <v>1</v>
      </c>
      <c r="F24" s="1" t="b">
        <f>(F4=F14)</f>
        <v>1</v>
      </c>
      <c r="G24" s="1" t="b">
        <f>(G4=G14)</f>
        <v>0</v>
      </c>
      <c r="H24" s="1" t="b">
        <f>(H4=H14)</f>
        <v>1</v>
      </c>
      <c r="I24" s="1" t="b">
        <f>(I4=I14)</f>
        <v>1</v>
      </c>
      <c r="J24" s="1" t="b">
        <f>(J4=J14)</f>
        <v>1</v>
      </c>
      <c r="L24" s="1">
        <f>B14-B4</f>
        <v>0</v>
      </c>
      <c r="M24" s="1">
        <f>C14-C4</f>
        <v>0</v>
      </c>
      <c r="N24" s="1">
        <f>D14-D4</f>
        <v>-4.6443132950980265E-7</v>
      </c>
      <c r="O24" s="1">
        <f>E14-E4</f>
        <v>0</v>
      </c>
      <c r="P24" s="1">
        <f>F14-F4</f>
        <v>0</v>
      </c>
      <c r="Q24" s="1">
        <f>G14-G4</f>
        <v>3.2531435900651218E-7</v>
      </c>
      <c r="R24" s="1">
        <f>H14-H4</f>
        <v>0</v>
      </c>
      <c r="S24" s="1">
        <f>I14-I4</f>
        <v>0</v>
      </c>
      <c r="T24" s="1">
        <f>J14-J4</f>
        <v>0</v>
      </c>
    </row>
    <row r="25" spans="2:20" x14ac:dyDescent="0.25">
      <c r="B25" s="1" t="b">
        <f>(B5=B15)</f>
        <v>1</v>
      </c>
      <c r="C25" s="1" t="b">
        <f>(C5=C15)</f>
        <v>1</v>
      </c>
      <c r="D25" s="1" t="b">
        <f>(D5=D15)</f>
        <v>0</v>
      </c>
      <c r="E25" s="1" t="b">
        <f>(E5=E15)</f>
        <v>1</v>
      </c>
      <c r="F25" s="1" t="b">
        <f>(F5=F15)</f>
        <v>1</v>
      </c>
      <c r="G25" s="1" t="b">
        <f>(G5=G15)</f>
        <v>0</v>
      </c>
      <c r="H25" s="1" t="b">
        <f>(H5=H15)</f>
        <v>1</v>
      </c>
      <c r="I25" s="1" t="b">
        <f>(I5=I15)</f>
        <v>1</v>
      </c>
      <c r="J25" s="1" t="b">
        <f>(J5=J15)</f>
        <v>1</v>
      </c>
      <c r="L25" s="1">
        <f>B15-B5</f>
        <v>0</v>
      </c>
      <c r="M25" s="1">
        <f>C15-C5</f>
        <v>0</v>
      </c>
      <c r="N25" s="1">
        <f>D15-D5</f>
        <v>3.147318760055029E-7</v>
      </c>
      <c r="O25" s="1">
        <f>E15-E5</f>
        <v>0</v>
      </c>
      <c r="P25" s="1">
        <f>F15-F5</f>
        <v>0</v>
      </c>
      <c r="Q25" s="1">
        <f>G15-G5</f>
        <v>-3.9158627720276007E-7</v>
      </c>
      <c r="R25" s="1">
        <f>H15-H5</f>
        <v>0</v>
      </c>
      <c r="S25" s="1">
        <f>I15-I5</f>
        <v>0</v>
      </c>
      <c r="T25" s="1">
        <f>J15-J5</f>
        <v>0</v>
      </c>
    </row>
    <row r="26" spans="2:20" x14ac:dyDescent="0.25">
      <c r="B26" s="1" t="b">
        <f>(B6=B16)</f>
        <v>1</v>
      </c>
      <c r="C26" s="1" t="b">
        <f>(C6=C16)</f>
        <v>1</v>
      </c>
      <c r="D26" s="1" t="b">
        <f>(D6=D16)</f>
        <v>1</v>
      </c>
      <c r="E26" s="1" t="b">
        <f>(E6=E16)</f>
        <v>1</v>
      </c>
      <c r="F26" s="1" t="b">
        <f>(F6=F16)</f>
        <v>1</v>
      </c>
      <c r="G26" s="1" t="b">
        <f>(G6=G16)</f>
        <v>0</v>
      </c>
      <c r="H26" s="1" t="b">
        <f>(H6=H16)</f>
        <v>1</v>
      </c>
      <c r="I26" s="1" t="b">
        <f>(I6=I16)</f>
        <v>1</v>
      </c>
      <c r="J26" s="1" t="b">
        <f>(J6=J16)</f>
        <v>0</v>
      </c>
      <c r="L26" s="1">
        <f>B16-B6</f>
        <v>0</v>
      </c>
      <c r="M26" s="1">
        <f>C16-C6</f>
        <v>0</v>
      </c>
      <c r="N26" s="1">
        <f>D16-D6</f>
        <v>0</v>
      </c>
      <c r="O26" s="1">
        <f>E16-E6</f>
        <v>0</v>
      </c>
      <c r="P26" s="1">
        <f>F16-F6</f>
        <v>0</v>
      </c>
      <c r="Q26" s="1">
        <f>G16-G6</f>
        <v>3.0414491899999341E-7</v>
      </c>
      <c r="R26" s="1">
        <f>H16-H6</f>
        <v>0</v>
      </c>
      <c r="S26" s="1">
        <f>I16-I6</f>
        <v>0</v>
      </c>
      <c r="T26" s="1">
        <f>J16-J6</f>
        <v>3.9377357879954999E-7</v>
      </c>
    </row>
    <row r="27" spans="2:20" x14ac:dyDescent="0.25">
      <c r="B27" s="1" t="b">
        <f>(B7=B17)</f>
        <v>1</v>
      </c>
      <c r="C27" s="1" t="b">
        <f>(C7=C17)</f>
        <v>1</v>
      </c>
      <c r="D27" s="1" t="b">
        <f>(D7=D17)</f>
        <v>1</v>
      </c>
      <c r="E27" s="1" t="b">
        <f>(E7=E17)</f>
        <v>1</v>
      </c>
      <c r="F27" s="1" t="b">
        <f>(F7=F17)</f>
        <v>1</v>
      </c>
      <c r="G27" s="1" t="b">
        <f>(G7=G17)</f>
        <v>0</v>
      </c>
      <c r="H27" s="1" t="b">
        <f>(H7=H17)</f>
        <v>1</v>
      </c>
      <c r="I27" s="1" t="b">
        <f>(I7=I17)</f>
        <v>1</v>
      </c>
      <c r="J27" s="1" t="b">
        <f>(J7=J17)</f>
        <v>0</v>
      </c>
      <c r="L27" s="1">
        <f>B17-B7</f>
        <v>0</v>
      </c>
      <c r="M27" s="1">
        <f>C17-C7</f>
        <v>0</v>
      </c>
      <c r="N27" s="1">
        <f>D17-D7</f>
        <v>0</v>
      </c>
      <c r="O27" s="1">
        <f>E17-E7</f>
        <v>0</v>
      </c>
      <c r="P27" s="1">
        <f>F17-F7</f>
        <v>0</v>
      </c>
      <c r="Q27" s="1">
        <f>G17-G7</f>
        <v>-3.1687730994711671E-8</v>
      </c>
      <c r="R27" s="1">
        <f>H17-H7</f>
        <v>0</v>
      </c>
      <c r="S27" s="1">
        <f>I17-I7</f>
        <v>0</v>
      </c>
      <c r="T27" s="1">
        <f>J17-J7</f>
        <v>1.7778314800875883E-7</v>
      </c>
    </row>
    <row r="28" spans="2:20" x14ac:dyDescent="0.25">
      <c r="B28" s="1" t="b">
        <f>(B8=B18)</f>
        <v>1</v>
      </c>
      <c r="C28" s="1" t="b">
        <f>(C8=C18)</f>
        <v>1</v>
      </c>
      <c r="D28" s="1" t="b">
        <f>(D8=D18)</f>
        <v>1</v>
      </c>
      <c r="E28" s="1" t="b">
        <f>(E8=E18)</f>
        <v>1</v>
      </c>
      <c r="F28" s="1" t="b">
        <f>(F8=F18)</f>
        <v>1</v>
      </c>
      <c r="G28" s="1" t="b">
        <f>(G8=G18)</f>
        <v>1</v>
      </c>
      <c r="H28" s="1" t="b">
        <f>(H8=H18)</f>
        <v>1</v>
      </c>
      <c r="I28" s="1" t="b">
        <f>(I8=I18)</f>
        <v>1</v>
      </c>
      <c r="J28" s="1" t="b">
        <f>(J8=J18)</f>
        <v>0</v>
      </c>
      <c r="L28" s="1">
        <f>B18-B8</f>
        <v>0</v>
      </c>
      <c r="M28" s="1">
        <f>C18-C8</f>
        <v>0</v>
      </c>
      <c r="N28" s="1">
        <f>D18-D8</f>
        <v>0</v>
      </c>
      <c r="O28" s="1">
        <f>E18-E8</f>
        <v>0</v>
      </c>
      <c r="P28" s="1">
        <f>F18-F8</f>
        <v>0</v>
      </c>
      <c r="Q28" s="1">
        <f>G18-G8</f>
        <v>0</v>
      </c>
      <c r="R28" s="1">
        <f>H18-H8</f>
        <v>0</v>
      </c>
      <c r="S28" s="1">
        <f>I18-I8</f>
        <v>0</v>
      </c>
      <c r="T28" s="1">
        <f>J18-J8</f>
        <v>3.9377357879954999E-7</v>
      </c>
    </row>
    <row r="29" spans="2:20" x14ac:dyDescent="0.25">
      <c r="B29" s="1" t="b">
        <f>(B9=B19)</f>
        <v>1</v>
      </c>
      <c r="C29" s="1" t="b">
        <f>(C9=C19)</f>
        <v>1</v>
      </c>
      <c r="D29" s="1" t="b">
        <f>(D9=D19)</f>
        <v>1</v>
      </c>
      <c r="E29" s="1" t="b">
        <f>(E9=E19)</f>
        <v>1</v>
      </c>
      <c r="F29" s="1" t="b">
        <f>(F9=F19)</f>
        <v>1</v>
      </c>
      <c r="G29" s="1" t="b">
        <f>(G9=G19)</f>
        <v>1</v>
      </c>
      <c r="H29" s="1" t="b">
        <f>(H9=H19)</f>
        <v>1</v>
      </c>
      <c r="I29" s="1" t="b">
        <f>(I9=I19)</f>
        <v>1</v>
      </c>
      <c r="J29" s="1" t="b">
        <f>(J9=J19)</f>
        <v>0</v>
      </c>
      <c r="L29" s="1">
        <f>B19-B9</f>
        <v>0</v>
      </c>
      <c r="M29" s="1">
        <f>C19-C9</f>
        <v>0</v>
      </c>
      <c r="N29" s="1">
        <f>D19-D9</f>
        <v>0</v>
      </c>
      <c r="O29" s="1">
        <f>E19-E9</f>
        <v>0</v>
      </c>
      <c r="P29" s="1">
        <f>F19-F9</f>
        <v>0</v>
      </c>
      <c r="Q29" s="1">
        <f>G19-G9</f>
        <v>0</v>
      </c>
      <c r="R29" s="1">
        <f>H19-H9</f>
        <v>0</v>
      </c>
      <c r="S29" s="1">
        <f>I19-I9</f>
        <v>0</v>
      </c>
      <c r="T29" s="1">
        <f>J19-J9</f>
        <v>1.7778314800875883E-7</v>
      </c>
    </row>
  </sheetData>
  <mergeCells count="3">
    <mergeCell ref="B11:J11"/>
    <mergeCell ref="B1:J1"/>
    <mergeCell ref="B21:J21"/>
  </mergeCells>
  <conditionalFormatting sqref="B12:J19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J29">
    <cfRule type="containsText" dxfId="0" priority="2" operator="containsText" text="FALSE">
      <formula>NOT(ISERROR(SEARCH("FALSE",B22)))</formula>
    </cfRule>
  </conditionalFormatting>
  <conditionalFormatting sqref="L22:T2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:J10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FCFC5C-26B4-493F-8984-A7E6DAD96B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jacobian_py</vt:lpstr>
      <vt:lpstr>jacobian_mat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Cangi</dc:creator>
  <cp:lastModifiedBy>Giacomo Cangi</cp:lastModifiedBy>
  <dcterms:created xsi:type="dcterms:W3CDTF">2025-01-13T15:29:20Z</dcterms:created>
  <dcterms:modified xsi:type="dcterms:W3CDTF">2025-01-13T16:03:19Z</dcterms:modified>
</cp:coreProperties>
</file>